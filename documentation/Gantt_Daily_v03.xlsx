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xr:revisionPtr revIDLastSave="0" documentId="13_ncr:2001_{B974E8EC-A0C3-41A1-9423-46615907712E}" xr6:coauthVersionLast="47" xr6:coauthVersionMax="47" xr10:uidLastSave="{00000000-0000-0000-0000-000000000000}"/>
  <bookViews>
    <workbookView xWindow="-36735" yWindow="-390" windowWidth="28605" windowHeight="14685" tabRatio="415" activeTab="1" xr2:uid="{00000000-000D-0000-FFFF-FFFF00000000}"/>
  </bookViews>
  <sheets>
    <sheet name="About" sheetId="12" r:id="rId1"/>
    <sheet name="Color" sheetId="18" r:id="rId2"/>
  </sheets>
  <definedNames>
    <definedName name="_xlnm.Print_Area" localSheetId="1">Color!$A$1:$BK$41</definedName>
    <definedName name="_xlnm.Print_Titles" localSheetId="1">Color!$3:$6</definedName>
    <definedName name="Project_Start" localSheetId="1">Color!$B$3</definedName>
    <definedName name="Project_Start">#REF!</definedName>
    <definedName name="Scrolling_Increment" localSheetId="1">Color!$B$4</definedName>
    <definedName name="Scrolling_Increment">#REF!</definedName>
    <definedName name="Today" localSheetId="1">TODAY()</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8" l="1"/>
  <c r="H20" i="18" s="1"/>
  <c r="H3" i="18" l="1"/>
  <c r="H16" i="18"/>
  <c r="H18" i="18"/>
  <c r="H10" i="18"/>
  <c r="H6" i="18"/>
  <c r="H14" i="18"/>
  <c r="H21" i="18"/>
  <c r="H22" i="18"/>
  <c r="H7" i="18"/>
  <c r="H24" i="18"/>
  <c r="I4" i="18"/>
  <c r="I26" i="18" s="1"/>
  <c r="H9" i="18"/>
  <c r="H15" i="18"/>
  <c r="H13" i="18"/>
  <c r="H17" i="18"/>
  <c r="H26" i="18"/>
  <c r="H8" i="18"/>
  <c r="H11" i="18"/>
  <c r="H25" i="18"/>
  <c r="H43" i="18"/>
  <c r="H12" i="18"/>
  <c r="H23" i="18"/>
  <c r="H19" i="18"/>
  <c r="I43" i="18" l="1"/>
  <c r="I10" i="18"/>
  <c r="I11" i="18"/>
  <c r="I13" i="18"/>
  <c r="I19" i="18"/>
  <c r="I7" i="18"/>
  <c r="J4" i="18"/>
  <c r="J26" i="18" s="1"/>
  <c r="I15" i="18"/>
  <c r="I23" i="18"/>
  <c r="I24" i="18"/>
  <c r="I8" i="18"/>
  <c r="I16" i="18"/>
  <c r="I18" i="18"/>
  <c r="I25" i="18"/>
  <c r="I14" i="18"/>
  <c r="I9" i="18"/>
  <c r="I20" i="18"/>
  <c r="I6" i="18"/>
  <c r="I17" i="18"/>
  <c r="I12" i="18"/>
  <c r="I21" i="18"/>
  <c r="I22" i="18"/>
  <c r="J43" i="18" l="1"/>
  <c r="J20" i="18"/>
  <c r="J7" i="18"/>
  <c r="J8" i="18"/>
  <c r="J23" i="18"/>
  <c r="J16" i="18"/>
  <c r="J15" i="18"/>
  <c r="J24" i="18"/>
  <c r="J13" i="18"/>
  <c r="J18" i="18"/>
  <c r="J6" i="18"/>
  <c r="J19" i="18"/>
  <c r="J21" i="18"/>
  <c r="J9" i="18"/>
  <c r="J10" i="18"/>
  <c r="J25" i="18"/>
  <c r="J11" i="18"/>
  <c r="K4" i="18"/>
  <c r="K43" i="18" s="1"/>
  <c r="J14" i="18"/>
  <c r="J12" i="18"/>
  <c r="J17" i="18"/>
  <c r="J22" i="18"/>
  <c r="K22" i="18" l="1"/>
  <c r="K15" i="18"/>
  <c r="K12" i="18"/>
  <c r="K17" i="18"/>
  <c r="K6" i="18"/>
  <c r="K25" i="18"/>
  <c r="L4" i="18"/>
  <c r="L24" i="18" s="1"/>
  <c r="K7" i="18"/>
  <c r="K14" i="18"/>
  <c r="K21" i="18"/>
  <c r="K26" i="18"/>
  <c r="K9" i="18"/>
  <c r="K16" i="18"/>
  <c r="K13" i="18"/>
  <c r="K19" i="18"/>
  <c r="K20" i="18"/>
  <c r="K23" i="18"/>
  <c r="K10" i="18"/>
  <c r="K8" i="18"/>
  <c r="K18" i="18"/>
  <c r="K11" i="18"/>
  <c r="K24" i="18"/>
  <c r="L43" i="18" l="1"/>
  <c r="L26" i="18"/>
  <c r="L16" i="18"/>
  <c r="L8" i="18"/>
  <c r="L9" i="18"/>
  <c r="L22" i="18"/>
  <c r="L7" i="18"/>
  <c r="L13" i="18"/>
  <c r="L19" i="18"/>
  <c r="L15" i="18"/>
  <c r="L18" i="18"/>
  <c r="L23" i="18"/>
  <c r="L11" i="18"/>
  <c r="L17" i="18"/>
  <c r="L10" i="18"/>
  <c r="L25" i="18"/>
  <c r="L20" i="18"/>
  <c r="M4" i="18"/>
  <c r="M43" i="18" s="1"/>
  <c r="L6" i="18"/>
  <c r="L12" i="18"/>
  <c r="L21" i="18"/>
  <c r="L14" i="18"/>
  <c r="M16" i="18" l="1"/>
  <c r="M8" i="18"/>
  <c r="M22" i="18"/>
  <c r="M10" i="18"/>
  <c r="M19" i="18"/>
  <c r="M20" i="18"/>
  <c r="M25" i="18"/>
  <c r="M6" i="18"/>
  <c r="M11" i="18"/>
  <c r="M21" i="18"/>
  <c r="M26" i="18"/>
  <c r="M7" i="18"/>
  <c r="M14" i="18"/>
  <c r="M15" i="18"/>
  <c r="M17" i="18"/>
  <c r="M18" i="18"/>
  <c r="M23" i="18"/>
  <c r="N4" i="18"/>
  <c r="N25" i="18" s="1"/>
  <c r="M9" i="18"/>
  <c r="M12" i="18"/>
  <c r="M13" i="18"/>
  <c r="M24" i="18"/>
  <c r="N9" i="18" l="1"/>
  <c r="N17" i="18"/>
  <c r="O4" i="18"/>
  <c r="O26" i="18" s="1"/>
  <c r="N22" i="18"/>
  <c r="N14" i="18"/>
  <c r="N26" i="18"/>
  <c r="N16" i="18"/>
  <c r="N6" i="18"/>
  <c r="N15" i="18"/>
  <c r="N19" i="18"/>
  <c r="N21" i="18"/>
  <c r="N23" i="18"/>
  <c r="N7" i="18"/>
  <c r="N11" i="18"/>
  <c r="N20" i="18"/>
  <c r="N18" i="18"/>
  <c r="N24" i="18"/>
  <c r="N43" i="18"/>
  <c r="N8" i="18"/>
  <c r="N13" i="18"/>
  <c r="N10" i="18"/>
  <c r="N12" i="18"/>
  <c r="O43" i="18" l="1"/>
  <c r="O10" i="18"/>
  <c r="O16" i="18"/>
  <c r="O9" i="18"/>
  <c r="O20" i="18"/>
  <c r="P4" i="18"/>
  <c r="O22" i="18"/>
  <c r="O23" i="18"/>
  <c r="O19" i="18"/>
  <c r="O11" i="18"/>
  <c r="O24" i="18"/>
  <c r="O8" i="18"/>
  <c r="O6" i="18"/>
  <c r="O13" i="18"/>
  <c r="O15" i="18"/>
  <c r="O17" i="18"/>
  <c r="O25" i="18"/>
  <c r="O3" i="18"/>
  <c r="O12" i="18"/>
  <c r="O7" i="18"/>
  <c r="O14" i="18"/>
  <c r="O18" i="18"/>
  <c r="O21" i="18"/>
  <c r="P43" i="18" l="1"/>
  <c r="P15" i="18"/>
  <c r="P17" i="18"/>
  <c r="P18" i="18"/>
  <c r="P23" i="18"/>
  <c r="P16" i="18"/>
  <c r="P20" i="18"/>
  <c r="P11" i="18"/>
  <c r="P26" i="18"/>
  <c r="P22" i="18"/>
  <c r="P9" i="18"/>
  <c r="P10" i="18"/>
  <c r="P19" i="18"/>
  <c r="Q4" i="18"/>
  <c r="P6" i="18"/>
  <c r="P13" i="18"/>
  <c r="P14" i="18"/>
  <c r="P24" i="18"/>
  <c r="P25" i="18"/>
  <c r="P8" i="18"/>
  <c r="P7" i="18"/>
  <c r="P12" i="18"/>
  <c r="P21" i="18"/>
  <c r="Q11" i="18" l="1"/>
  <c r="Q43" i="18"/>
  <c r="Q7" i="18"/>
  <c r="Q18" i="18"/>
  <c r="Q8" i="18"/>
  <c r="Q16" i="18"/>
  <c r="Q24" i="18"/>
  <c r="Q17" i="18"/>
  <c r="Q13" i="18"/>
  <c r="Q25" i="18"/>
  <c r="Q10" i="18"/>
  <c r="Q9" i="18"/>
  <c r="Q15" i="18"/>
  <c r="Q21" i="18"/>
  <c r="Q22" i="18"/>
  <c r="Q26" i="18"/>
  <c r="Q20" i="18"/>
  <c r="Q6" i="18"/>
  <c r="R4" i="18"/>
  <c r="R43" i="18" s="1"/>
  <c r="Q14" i="18"/>
  <c r="Q12" i="18"/>
  <c r="Q23" i="18"/>
  <c r="Q19" i="18"/>
  <c r="S4" i="18" l="1"/>
  <c r="S25" i="18" s="1"/>
  <c r="R16" i="18"/>
  <c r="R8" i="18"/>
  <c r="R20" i="18"/>
  <c r="R13" i="18"/>
  <c r="R19" i="18"/>
  <c r="R18" i="18"/>
  <c r="R6" i="18"/>
  <c r="R15" i="18"/>
  <c r="R24" i="18"/>
  <c r="R23" i="18"/>
  <c r="R21" i="18"/>
  <c r="R7" i="18"/>
  <c r="R10" i="18"/>
  <c r="R25" i="18"/>
  <c r="R11" i="18"/>
  <c r="R9" i="18"/>
  <c r="R14" i="18"/>
  <c r="R12" i="18"/>
  <c r="R17" i="18"/>
  <c r="R22" i="18"/>
  <c r="R26" i="18"/>
  <c r="S13" i="18" l="1"/>
  <c r="S43" i="18"/>
  <c r="S20" i="18"/>
  <c r="S10" i="18"/>
  <c r="S16" i="18"/>
  <c r="S23" i="18"/>
  <c r="S19" i="18"/>
  <c r="S7" i="18"/>
  <c r="S15" i="18"/>
  <c r="S26" i="18"/>
  <c r="T4" i="18"/>
  <c r="T25" i="18" s="1"/>
  <c r="S17" i="18"/>
  <c r="S9" i="18"/>
  <c r="S8" i="18"/>
  <c r="S12" i="18"/>
  <c r="S14" i="18"/>
  <c r="S22" i="18"/>
  <c r="S21" i="18"/>
  <c r="S6" i="18"/>
  <c r="S18" i="18"/>
  <c r="S11" i="18"/>
  <c r="S24" i="18"/>
  <c r="T10" i="18" l="1"/>
  <c r="T8" i="18"/>
  <c r="T22" i="18"/>
  <c r="T6" i="18"/>
  <c r="T19" i="18"/>
  <c r="T9" i="18"/>
  <c r="T17" i="18"/>
  <c r="T14" i="18"/>
  <c r="T24" i="18"/>
  <c r="T23" i="18"/>
  <c r="T7" i="18"/>
  <c r="T11" i="18"/>
  <c r="T12" i="18"/>
  <c r="T13" i="18"/>
  <c r="T21" i="18"/>
  <c r="T26" i="18"/>
  <c r="T20" i="18"/>
  <c r="U4" i="18"/>
  <c r="U25" i="18" s="1"/>
  <c r="T15" i="18"/>
  <c r="T16" i="18"/>
  <c r="T18" i="18"/>
  <c r="T43" i="18"/>
  <c r="U14" i="18" l="1"/>
  <c r="U21" i="18"/>
  <c r="U8" i="18"/>
  <c r="U19" i="18"/>
  <c r="U15" i="18"/>
  <c r="U26" i="18"/>
  <c r="U6" i="18"/>
  <c r="U10" i="18"/>
  <c r="U20" i="18"/>
  <c r="U17" i="18"/>
  <c r="U18" i="18"/>
  <c r="U23" i="18"/>
  <c r="U7" i="18"/>
  <c r="U12" i="18"/>
  <c r="U9" i="18"/>
  <c r="U24" i="18"/>
  <c r="U43" i="18"/>
  <c r="V4" i="18"/>
  <c r="U11" i="18"/>
  <c r="U16" i="18"/>
  <c r="U13" i="18"/>
  <c r="U22" i="18"/>
  <c r="V13" i="18" l="1"/>
  <c r="V18" i="18"/>
  <c r="V12" i="18"/>
  <c r="V11" i="18"/>
  <c r="V20" i="18"/>
  <c r="V25" i="18"/>
  <c r="W4" i="18"/>
  <c r="W26" i="18" s="1"/>
  <c r="V3" i="18"/>
  <c r="V10" i="18"/>
  <c r="V43" i="18"/>
  <c r="V24" i="18"/>
  <c r="V6" i="18"/>
  <c r="V8" i="18"/>
  <c r="V14" i="18"/>
  <c r="V16" i="18"/>
  <c r="V17" i="18"/>
  <c r="V22" i="18"/>
  <c r="V26" i="18"/>
  <c r="V7" i="18"/>
  <c r="V9" i="18"/>
  <c r="V15" i="18"/>
  <c r="V19" i="18"/>
  <c r="V21" i="18"/>
  <c r="V23" i="18"/>
  <c r="W9" i="18" l="1"/>
  <c r="W20" i="18"/>
  <c r="W23" i="18"/>
  <c r="W12" i="18"/>
  <c r="W7" i="18"/>
  <c r="W11" i="18"/>
  <c r="W24" i="18"/>
  <c r="W43" i="18"/>
  <c r="W19" i="18"/>
  <c r="W22" i="18"/>
  <c r="W13" i="18"/>
  <c r="W15" i="18"/>
  <c r="W17" i="18"/>
  <c r="W25" i="18"/>
  <c r="W16" i="18"/>
  <c r="W10" i="18"/>
  <c r="X4" i="18"/>
  <c r="X24" i="18" s="1"/>
  <c r="W8" i="18"/>
  <c r="W6" i="18"/>
  <c r="W14" i="18"/>
  <c r="W18" i="18"/>
  <c r="W21" i="18"/>
  <c r="X15" i="18" l="1"/>
  <c r="X14" i="18"/>
  <c r="X17" i="18"/>
  <c r="X21" i="18"/>
  <c r="X6" i="18"/>
  <c r="X8" i="18"/>
  <c r="X16" i="18"/>
  <c r="X20" i="18"/>
  <c r="X7" i="18"/>
  <c r="X19" i="18"/>
  <c r="X26" i="18"/>
  <c r="Y4" i="18"/>
  <c r="X18" i="18"/>
  <c r="X23" i="18"/>
  <c r="X13" i="18"/>
  <c r="X22" i="18"/>
  <c r="X43" i="18"/>
  <c r="X9" i="18"/>
  <c r="X11" i="18"/>
  <c r="X12" i="18"/>
  <c r="X10" i="18"/>
  <c r="X25" i="18"/>
  <c r="Y43" i="18" l="1"/>
  <c r="Y15" i="18"/>
  <c r="Y17" i="18"/>
  <c r="Y26" i="18"/>
  <c r="Y6" i="18"/>
  <c r="Y21" i="18"/>
  <c r="Y16" i="18"/>
  <c r="Y19" i="18"/>
  <c r="Y8" i="18"/>
  <c r="Y9" i="18"/>
  <c r="Y24" i="18"/>
  <c r="Y14" i="18"/>
  <c r="Y10" i="18"/>
  <c r="Y12" i="18"/>
  <c r="Y13" i="18"/>
  <c r="Y22" i="18"/>
  <c r="Y25" i="18"/>
  <c r="Y7" i="18"/>
  <c r="Z4" i="18"/>
  <c r="Z43" i="18" s="1"/>
  <c r="Y11" i="18"/>
  <c r="Y20" i="18"/>
  <c r="Y18" i="18"/>
  <c r="Y23" i="18"/>
  <c r="Z10" i="18" l="1"/>
  <c r="Z25" i="18"/>
  <c r="Z9" i="18"/>
  <c r="Z11" i="18"/>
  <c r="AA4" i="18"/>
  <c r="AA26" i="18" s="1"/>
  <c r="Z14" i="18"/>
  <c r="Z12" i="18"/>
  <c r="Z17" i="18"/>
  <c r="Z22" i="18"/>
  <c r="Z26" i="18"/>
  <c r="Z6" i="18"/>
  <c r="Z8" i="18"/>
  <c r="Z19" i="18"/>
  <c r="Z16" i="18"/>
  <c r="Z21" i="18"/>
  <c r="Z23" i="18"/>
  <c r="Z7" i="18"/>
  <c r="Z13" i="18"/>
  <c r="Z15" i="18"/>
  <c r="Z20" i="18"/>
  <c r="Z18" i="18"/>
  <c r="Z24" i="18"/>
  <c r="AA16" i="18" l="1"/>
  <c r="AA23" i="18"/>
  <c r="AA13" i="18"/>
  <c r="AA19" i="18"/>
  <c r="AA10" i="18"/>
  <c r="AA20" i="18"/>
  <c r="AA12" i="18"/>
  <c r="AA6" i="18"/>
  <c r="AA18" i="18"/>
  <c r="AA11" i="18"/>
  <c r="AA24" i="18"/>
  <c r="AA43" i="18"/>
  <c r="AB4" i="18"/>
  <c r="AB26" i="18" s="1"/>
  <c r="AA7" i="18"/>
  <c r="AA22" i="18"/>
  <c r="AA15" i="18"/>
  <c r="AA17" i="18"/>
  <c r="AA25" i="18"/>
  <c r="AA8" i="18"/>
  <c r="AA9" i="18"/>
  <c r="AA14" i="18"/>
  <c r="AA21" i="18"/>
  <c r="AB43" i="18" l="1"/>
  <c r="AB22" i="18"/>
  <c r="AB11" i="18"/>
  <c r="AB6" i="18"/>
  <c r="AB19" i="18"/>
  <c r="AB18" i="18"/>
  <c r="AB7" i="18"/>
  <c r="AB17" i="18"/>
  <c r="AB10" i="18"/>
  <c r="AB23" i="18"/>
  <c r="AB20" i="18"/>
  <c r="AC4" i="18"/>
  <c r="AC43" i="18" s="1"/>
  <c r="AB9" i="18"/>
  <c r="AB12" i="18"/>
  <c r="AB21" i="18"/>
  <c r="AB14" i="18"/>
  <c r="AB25" i="18"/>
  <c r="AB24" i="18"/>
  <c r="AB8" i="18"/>
  <c r="AB15" i="18"/>
  <c r="AB16" i="18"/>
  <c r="AB13" i="18"/>
  <c r="AC10" i="18" l="1"/>
  <c r="AC22" i="18"/>
  <c r="AC11" i="18"/>
  <c r="AC25" i="18"/>
  <c r="AC6" i="18"/>
  <c r="AC20" i="18"/>
  <c r="AC7" i="18"/>
  <c r="AC14" i="18"/>
  <c r="AC15" i="18"/>
  <c r="AC17" i="18"/>
  <c r="AC21" i="18"/>
  <c r="AC19" i="18"/>
  <c r="AC26" i="18"/>
  <c r="AD4" i="18"/>
  <c r="AD43" i="18" s="1"/>
  <c r="AC3" i="18"/>
  <c r="AC12" i="18"/>
  <c r="AC9" i="18"/>
  <c r="AC18" i="18"/>
  <c r="AC23" i="18"/>
  <c r="AC8" i="18"/>
  <c r="AC16" i="18"/>
  <c r="AC13" i="18"/>
  <c r="AC24" i="18"/>
  <c r="AD10" i="18" l="1"/>
  <c r="AD12" i="18"/>
  <c r="AD25" i="18"/>
  <c r="AD7" i="18"/>
  <c r="AD9" i="18"/>
  <c r="AE4" i="18"/>
  <c r="AE25" i="18" s="1"/>
  <c r="AD14" i="18"/>
  <c r="AD16" i="18"/>
  <c r="AD17" i="18"/>
  <c r="AD22" i="18"/>
  <c r="AD26" i="18"/>
  <c r="AD13" i="18"/>
  <c r="AD8" i="18"/>
  <c r="AD15" i="18"/>
  <c r="AD19" i="18"/>
  <c r="AD21" i="18"/>
  <c r="AD23" i="18"/>
  <c r="AD6" i="18"/>
  <c r="AD11" i="18"/>
  <c r="AD20" i="18"/>
  <c r="AD18" i="18"/>
  <c r="AD24" i="18"/>
  <c r="AE18" i="18" l="1"/>
  <c r="AE26" i="18"/>
  <c r="AE7" i="18"/>
  <c r="AE10" i="18"/>
  <c r="AE20" i="18"/>
  <c r="AE19" i="18"/>
  <c r="AE14" i="18"/>
  <c r="AE21" i="18"/>
  <c r="AF4" i="18"/>
  <c r="AF20" i="18" s="1"/>
  <c r="AE22" i="18"/>
  <c r="AE23" i="18"/>
  <c r="AE9" i="18"/>
  <c r="AE8" i="18"/>
  <c r="AE16" i="18"/>
  <c r="AE11" i="18"/>
  <c r="AE24" i="18"/>
  <c r="AE43" i="18"/>
  <c r="AE12" i="18"/>
  <c r="AE6" i="18"/>
  <c r="AE13" i="18"/>
  <c r="AE15" i="18"/>
  <c r="AE17" i="18"/>
  <c r="AF10" i="18" l="1"/>
  <c r="AF23" i="18"/>
  <c r="AF9" i="18"/>
  <c r="AF8" i="18"/>
  <c r="AF11" i="18"/>
  <c r="AF16" i="18"/>
  <c r="AF26" i="18"/>
  <c r="AF6" i="18"/>
  <c r="AF21" i="18"/>
  <c r="AF22" i="18"/>
  <c r="AG4" i="18"/>
  <c r="AG15" i="18" s="1"/>
  <c r="AF24" i="18"/>
  <c r="AF18" i="18"/>
  <c r="AF13" i="18"/>
  <c r="AF14" i="18"/>
  <c r="AF25" i="18"/>
  <c r="AF15" i="18"/>
  <c r="AF7" i="18"/>
  <c r="AF12" i="18"/>
  <c r="AF43" i="18"/>
  <c r="AF17" i="18"/>
  <c r="AF19" i="18"/>
  <c r="AG43" i="18" l="1"/>
  <c r="AG13" i="18"/>
  <c r="AG22" i="18"/>
  <c r="AG8" i="18"/>
  <c r="AG25" i="18"/>
  <c r="AG6" i="18"/>
  <c r="AG10" i="18"/>
  <c r="AG20" i="18"/>
  <c r="AG12" i="18"/>
  <c r="AG21" i="18"/>
  <c r="AG19" i="18"/>
  <c r="AG26" i="18"/>
  <c r="AG7" i="18"/>
  <c r="AG17" i="18"/>
  <c r="AG14" i="18"/>
  <c r="AG16" i="18"/>
  <c r="AG18" i="18"/>
  <c r="AG23" i="18"/>
  <c r="AH4" i="18"/>
  <c r="AH43" i="18" s="1"/>
  <c r="AG11" i="18"/>
  <c r="AG9" i="18"/>
  <c r="AG24" i="18"/>
  <c r="AH7" i="18" l="1"/>
  <c r="AH10" i="18"/>
  <c r="AH25" i="18"/>
  <c r="AH11" i="18"/>
  <c r="AH9" i="18"/>
  <c r="AH14" i="18"/>
  <c r="AH12" i="18"/>
  <c r="AH17" i="18"/>
  <c r="AH22" i="18"/>
  <c r="AH26" i="18"/>
  <c r="AH13" i="18"/>
  <c r="AI4" i="18"/>
  <c r="AI26" i="18" s="1"/>
  <c r="AH19" i="18"/>
  <c r="AH16" i="18"/>
  <c r="AH21" i="18"/>
  <c r="AH23" i="18"/>
  <c r="AH6" i="18"/>
  <c r="AH8" i="18"/>
  <c r="AH15" i="18"/>
  <c r="AH20" i="18"/>
  <c r="AH18" i="18"/>
  <c r="AH24" i="18"/>
  <c r="AI43" i="18" l="1"/>
  <c r="AI13" i="18"/>
  <c r="AI18" i="18"/>
  <c r="AI9" i="18"/>
  <c r="AI20" i="18"/>
  <c r="AI10" i="18"/>
  <c r="AI19" i="18"/>
  <c r="AI23" i="18"/>
  <c r="AI6" i="18"/>
  <c r="AI11" i="18"/>
  <c r="AI24" i="18"/>
  <c r="AI8" i="18"/>
  <c r="AI7" i="18"/>
  <c r="AI15" i="18"/>
  <c r="AI17" i="18"/>
  <c r="AI25" i="18"/>
  <c r="AJ4" i="18"/>
  <c r="AI16" i="18"/>
  <c r="AI12" i="18"/>
  <c r="AI14" i="18"/>
  <c r="AI22" i="18"/>
  <c r="AI21" i="18"/>
  <c r="AJ22" i="18" l="1"/>
  <c r="AJ7" i="18"/>
  <c r="AJ14" i="18"/>
  <c r="AJ11" i="18"/>
  <c r="AJ24" i="18"/>
  <c r="AJ16" i="18"/>
  <c r="AJ3" i="18"/>
  <c r="AJ15" i="18"/>
  <c r="AJ43" i="18"/>
  <c r="AJ8" i="18"/>
  <c r="AJ17" i="18"/>
  <c r="AJ20" i="18"/>
  <c r="AJ6" i="18"/>
  <c r="AJ18" i="18"/>
  <c r="AJ23" i="18"/>
  <c r="AJ10" i="18"/>
  <c r="AK4" i="18"/>
  <c r="AJ9" i="18"/>
  <c r="AJ12" i="18"/>
  <c r="AJ13" i="18"/>
  <c r="AJ21" i="18"/>
  <c r="AJ26" i="18"/>
  <c r="AJ25" i="18"/>
  <c r="AJ19" i="18"/>
  <c r="AK43" i="18" l="1"/>
  <c r="AK12" i="18"/>
  <c r="AL4" i="18"/>
  <c r="AL26" i="18" s="1"/>
  <c r="AK8" i="18"/>
  <c r="AK16" i="18"/>
  <c r="AK22" i="18"/>
  <c r="AK14" i="18"/>
  <c r="AK17" i="18"/>
  <c r="AK23" i="18"/>
  <c r="AK10" i="18"/>
  <c r="AK19" i="18"/>
  <c r="AK9" i="18"/>
  <c r="AK11" i="18"/>
  <c r="AK13" i="18"/>
  <c r="AK25" i="18"/>
  <c r="AK15" i="18"/>
  <c r="AK21" i="18"/>
  <c r="AK26" i="18"/>
  <c r="AK24" i="18"/>
  <c r="AK6" i="18"/>
  <c r="AK7" i="18"/>
  <c r="AK20" i="18"/>
  <c r="AK18" i="18"/>
  <c r="AL16" i="18" l="1"/>
  <c r="AL22" i="18"/>
  <c r="AL23" i="18"/>
  <c r="AL7" i="18"/>
  <c r="AL15" i="18"/>
  <c r="AL8" i="18"/>
  <c r="AL9" i="18"/>
  <c r="AL19" i="18"/>
  <c r="AL21" i="18"/>
  <c r="AL13" i="18"/>
  <c r="AL18" i="18"/>
  <c r="AL43" i="18"/>
  <c r="AM4" i="18"/>
  <c r="AM43" i="18" s="1"/>
  <c r="AL12" i="18"/>
  <c r="AL10" i="18"/>
  <c r="AL25" i="18"/>
  <c r="AL11" i="18"/>
  <c r="AL20" i="18"/>
  <c r="AL24" i="18"/>
  <c r="AL6" i="18"/>
  <c r="AL14" i="18"/>
  <c r="AL17" i="18"/>
  <c r="AM11" i="18" l="1"/>
  <c r="AM12" i="18"/>
  <c r="AM24" i="18"/>
  <c r="AM15" i="18"/>
  <c r="AM8" i="18"/>
  <c r="AM17" i="18"/>
  <c r="AM9" i="18"/>
  <c r="AM21" i="18"/>
  <c r="AM23" i="18"/>
  <c r="AM14" i="18"/>
  <c r="AM18" i="18"/>
  <c r="AM16" i="18"/>
  <c r="AM7" i="18"/>
  <c r="AM19" i="18"/>
  <c r="AM26" i="18"/>
  <c r="AM25" i="18"/>
  <c r="AM20" i="18"/>
  <c r="AM6" i="18"/>
  <c r="AM22" i="18"/>
  <c r="AM10" i="18"/>
  <c r="AN4" i="18"/>
  <c r="AN26" i="18" s="1"/>
  <c r="AM13" i="18"/>
  <c r="AN12" i="18" l="1"/>
  <c r="AN43" i="18"/>
  <c r="AN16" i="18"/>
  <c r="AN8" i="18"/>
  <c r="AN20" i="18"/>
  <c r="AN17" i="18"/>
  <c r="AN18" i="18"/>
  <c r="AN25" i="18"/>
  <c r="AN11" i="18"/>
  <c r="AN22" i="18"/>
  <c r="AN9" i="18"/>
  <c r="AN23" i="18"/>
  <c r="AN15" i="18"/>
  <c r="AN21" i="18"/>
  <c r="AN19" i="18"/>
  <c r="AN13" i="18"/>
  <c r="AN6" i="18"/>
  <c r="AN10" i="18"/>
  <c r="AN24" i="18"/>
  <c r="AO4" i="18"/>
  <c r="AO22" i="18" s="1"/>
  <c r="AN7" i="18"/>
  <c r="AN14" i="18"/>
  <c r="AP4" i="18" l="1"/>
  <c r="AP43" i="18" s="1"/>
  <c r="AO20" i="18"/>
  <c r="AO17" i="18"/>
  <c r="AO16" i="18"/>
  <c r="AO19" i="18"/>
  <c r="AO24" i="18"/>
  <c r="AO6" i="18"/>
  <c r="AO21" i="18"/>
  <c r="AO23" i="18"/>
  <c r="AO9" i="18"/>
  <c r="AO8" i="18"/>
  <c r="AO13" i="18"/>
  <c r="AO25" i="18"/>
  <c r="AO10" i="18"/>
  <c r="AO26" i="18"/>
  <c r="AO7" i="18"/>
  <c r="AO11" i="18"/>
  <c r="AO18" i="18"/>
  <c r="AO15" i="18"/>
  <c r="AO43" i="18"/>
  <c r="AO14" i="18"/>
  <c r="AO12" i="18"/>
  <c r="AP12" i="18" l="1"/>
  <c r="AP11" i="18"/>
  <c r="AP17" i="18"/>
  <c r="AP9" i="18"/>
  <c r="AQ4" i="18"/>
  <c r="AQ21" i="18" s="1"/>
  <c r="AP22" i="18"/>
  <c r="AP19" i="18"/>
  <c r="AP25" i="18"/>
  <c r="AP10" i="18"/>
  <c r="AP26" i="18"/>
  <c r="AP8" i="18"/>
  <c r="AP16" i="18"/>
  <c r="AP23" i="18"/>
  <c r="AP13" i="18"/>
  <c r="AP20" i="18"/>
  <c r="AP24" i="18"/>
  <c r="AP6" i="18"/>
  <c r="AP14" i="18"/>
  <c r="AP21" i="18"/>
  <c r="AP7" i="18"/>
  <c r="AP15" i="18"/>
  <c r="AP18" i="18"/>
  <c r="AQ3" i="18" l="1"/>
  <c r="AQ15" i="18"/>
  <c r="AQ8" i="18"/>
  <c r="AQ23" i="18"/>
  <c r="AQ6" i="18"/>
  <c r="AQ24" i="18"/>
  <c r="AQ7" i="18"/>
  <c r="AQ25" i="18"/>
  <c r="AQ18" i="18"/>
  <c r="AQ11" i="18"/>
  <c r="AQ10" i="18"/>
  <c r="AQ9" i="18"/>
  <c r="AQ19" i="18"/>
  <c r="AQ26" i="18"/>
  <c r="AQ12" i="18"/>
  <c r="AQ13" i="18"/>
  <c r="AQ20" i="18"/>
  <c r="AQ43" i="18"/>
  <c r="AQ16" i="18"/>
  <c r="AQ22" i="18"/>
  <c r="AQ17" i="18"/>
  <c r="AR4" i="18"/>
  <c r="AR20" i="18" s="1"/>
  <c r="AQ14" i="18"/>
  <c r="AR12" i="18" l="1"/>
  <c r="AR16" i="18"/>
  <c r="AR43" i="18"/>
  <c r="AR14" i="18"/>
  <c r="AR9" i="18"/>
  <c r="AR22" i="18"/>
  <c r="AR11" i="18"/>
  <c r="AR23" i="18"/>
  <c r="AR15" i="18"/>
  <c r="AS4" i="18"/>
  <c r="AS22" i="18" s="1"/>
  <c r="AR21" i="18"/>
  <c r="AR19" i="18"/>
  <c r="AR13" i="18"/>
  <c r="AR6" i="18"/>
  <c r="AR24" i="18"/>
  <c r="AR7" i="18"/>
  <c r="AR18" i="18"/>
  <c r="AR26" i="18"/>
  <c r="AR8" i="18"/>
  <c r="AR17" i="18"/>
  <c r="AR25" i="18"/>
  <c r="AR10" i="18"/>
  <c r="AS11" i="18" l="1"/>
  <c r="AS15" i="18"/>
  <c r="AS23" i="18"/>
  <c r="AS24" i="18"/>
  <c r="AS14" i="18"/>
  <c r="AS21" i="18"/>
  <c r="AS10" i="18"/>
  <c r="AS20" i="18"/>
  <c r="AS19" i="18"/>
  <c r="AS17" i="18"/>
  <c r="AS25" i="18"/>
  <c r="AS9" i="18"/>
  <c r="AS26" i="18"/>
  <c r="AS6" i="18"/>
  <c r="AS13" i="18"/>
  <c r="AS7" i="18"/>
  <c r="AS12" i="18"/>
  <c r="AS18" i="18"/>
  <c r="AT4" i="18"/>
  <c r="AT22" i="18" s="1"/>
  <c r="AS16" i="18"/>
  <c r="AS43" i="18"/>
  <c r="AS8" i="18"/>
  <c r="AT14" i="18" l="1"/>
  <c r="AT10" i="18"/>
  <c r="AT23" i="18"/>
  <c r="AT16" i="18"/>
  <c r="AT9" i="18"/>
  <c r="AT25" i="18"/>
  <c r="AT8" i="18"/>
  <c r="AT26" i="18"/>
  <c r="AT17" i="18"/>
  <c r="AT11" i="18"/>
  <c r="AT20" i="18"/>
  <c r="AT24" i="18"/>
  <c r="AT6" i="18"/>
  <c r="AT19" i="18"/>
  <c r="AT21" i="18"/>
  <c r="AT7" i="18"/>
  <c r="AT15" i="18"/>
  <c r="AT18" i="18"/>
  <c r="AT43" i="18"/>
  <c r="AT13" i="18"/>
  <c r="AU4" i="18"/>
  <c r="AU43" i="18" s="1"/>
  <c r="AT12" i="18"/>
  <c r="AU20" i="18" l="1"/>
  <c r="AU17" i="18"/>
  <c r="AV4" i="18"/>
  <c r="AU15" i="18"/>
  <c r="AU7" i="18"/>
  <c r="AU10" i="18"/>
  <c r="AU12" i="18"/>
  <c r="AU22" i="18"/>
  <c r="AU24" i="18"/>
  <c r="AU11" i="18"/>
  <c r="AU25" i="18"/>
  <c r="AU6" i="18"/>
  <c r="AU18" i="18"/>
  <c r="AU8" i="18"/>
  <c r="AU16" i="18"/>
  <c r="AU21" i="18"/>
  <c r="AU14" i="18"/>
  <c r="AU23" i="18"/>
  <c r="AU19" i="18"/>
  <c r="AU26" i="18"/>
  <c r="AU9" i="18"/>
  <c r="AU13" i="18"/>
  <c r="AV18" i="18" l="1"/>
  <c r="AV8" i="18"/>
  <c r="AV15" i="18"/>
  <c r="AV11" i="18"/>
  <c r="AV12" i="18"/>
  <c r="AV13" i="18"/>
  <c r="AV10" i="18"/>
  <c r="AV22" i="18"/>
  <c r="AV19" i="18"/>
  <c r="AV23" i="18"/>
  <c r="AV20" i="18"/>
  <c r="AV24" i="18"/>
  <c r="AV26" i="18"/>
  <c r="AW4" i="18"/>
  <c r="AW24" i="18" s="1"/>
  <c r="AV16" i="18"/>
  <c r="AV25" i="18"/>
  <c r="AV7" i="18"/>
  <c r="AV21" i="18"/>
  <c r="AV6" i="18"/>
  <c r="AV9" i="18"/>
  <c r="AV14" i="18"/>
  <c r="AV17" i="18"/>
  <c r="AV43" i="18"/>
  <c r="AW23" i="18" l="1"/>
  <c r="AW16" i="18"/>
  <c r="AW8" i="18"/>
  <c r="AW17" i="18"/>
  <c r="AW9" i="18"/>
  <c r="AW14" i="18"/>
  <c r="AW25" i="18"/>
  <c r="AW6" i="18"/>
  <c r="AW21" i="18"/>
  <c r="AW26" i="18"/>
  <c r="AW7" i="18"/>
  <c r="AW20" i="18"/>
  <c r="AW18" i="18"/>
  <c r="AW10" i="18"/>
  <c r="AW15" i="18"/>
  <c r="AW22" i="18"/>
  <c r="AW13" i="18"/>
  <c r="AW11" i="18"/>
  <c r="AW43" i="18"/>
  <c r="AX4" i="18"/>
  <c r="AX24" i="18" s="1"/>
  <c r="AW12" i="18"/>
  <c r="AW19" i="18"/>
  <c r="AX11" i="18" l="1"/>
  <c r="AX10" i="18"/>
  <c r="AX14" i="18"/>
  <c r="AX15" i="18"/>
  <c r="AX21" i="18"/>
  <c r="AX22" i="18"/>
  <c r="AX18" i="18"/>
  <c r="AX13" i="18"/>
  <c r="AX19" i="18"/>
  <c r="AX23" i="18"/>
  <c r="AX9" i="18"/>
  <c r="AX12" i="18"/>
  <c r="AX25" i="18"/>
  <c r="AX3" i="18"/>
  <c r="AX16" i="18"/>
  <c r="AX26" i="18"/>
  <c r="AX7" i="18"/>
  <c r="AY4" i="18"/>
  <c r="AY25" i="18" s="1"/>
  <c r="AX17" i="18"/>
  <c r="AX43" i="18"/>
  <c r="AX6" i="18"/>
  <c r="AX8" i="18"/>
  <c r="AX20" i="18"/>
  <c r="AY43" i="18" l="1"/>
  <c r="AY16" i="18"/>
  <c r="AY26" i="18"/>
  <c r="AY9" i="18"/>
  <c r="AZ4" i="18"/>
  <c r="AY13" i="18"/>
  <c r="AY10" i="18"/>
  <c r="AY18" i="18"/>
  <c r="AY20" i="18"/>
  <c r="AY8" i="18"/>
  <c r="AY14" i="18"/>
  <c r="AY17" i="18"/>
  <c r="AY11" i="18"/>
  <c r="AY21" i="18"/>
  <c r="AY6" i="18"/>
  <c r="AY15" i="18"/>
  <c r="AY23" i="18"/>
  <c r="AY7" i="18"/>
  <c r="AY22" i="18"/>
  <c r="AY24" i="18"/>
  <c r="AY12" i="18"/>
  <c r="AY19" i="18"/>
  <c r="AZ8" i="18" l="1"/>
  <c r="BA4" i="18"/>
  <c r="BA15" i="18" s="1"/>
  <c r="AZ7" i="18"/>
  <c r="AZ12" i="18"/>
  <c r="AZ17" i="18"/>
  <c r="AZ18" i="18"/>
  <c r="AZ13" i="18"/>
  <c r="AZ10" i="18"/>
  <c r="AZ14" i="18"/>
  <c r="AZ21" i="18"/>
  <c r="AZ22" i="18"/>
  <c r="AZ26" i="18"/>
  <c r="AZ24" i="18"/>
  <c r="AZ43" i="18"/>
  <c r="AZ19" i="18"/>
  <c r="AZ20" i="18"/>
  <c r="AZ11" i="18"/>
  <c r="AZ25" i="18"/>
  <c r="AZ15" i="18"/>
  <c r="AZ23" i="18"/>
  <c r="AZ9" i="18"/>
  <c r="AZ6" i="18"/>
  <c r="AZ16" i="18"/>
  <c r="BA20" i="18" l="1"/>
  <c r="BA16" i="18"/>
  <c r="BA12" i="18"/>
  <c r="BA17" i="18"/>
  <c r="BA18" i="18"/>
  <c r="BA9" i="18"/>
  <c r="BA13" i="18"/>
  <c r="BA21" i="18"/>
  <c r="BA22" i="18"/>
  <c r="BA19" i="18"/>
  <c r="BA23" i="18"/>
  <c r="BA24" i="18"/>
  <c r="BA25" i="18"/>
  <c r="BA26" i="18"/>
  <c r="BA43" i="18"/>
  <c r="BA6" i="18"/>
  <c r="BA7" i="18"/>
  <c r="BA14" i="18"/>
  <c r="BB4" i="18"/>
  <c r="BB16" i="18" s="1"/>
  <c r="BA8" i="18"/>
  <c r="BA10" i="18"/>
  <c r="BA11" i="18"/>
  <c r="BB26" i="18" l="1"/>
  <c r="BB25" i="18"/>
  <c r="BB24" i="18"/>
  <c r="BB23" i="18"/>
  <c r="BB19" i="18"/>
  <c r="BB20" i="18"/>
  <c r="BB21" i="18"/>
  <c r="BB18" i="18"/>
  <c r="BB43" i="18"/>
  <c r="BB17" i="18"/>
  <c r="BB22" i="18"/>
  <c r="BB6" i="18"/>
  <c r="BB7" i="18"/>
  <c r="BB12" i="18"/>
  <c r="BB13" i="18"/>
  <c r="BC4" i="18"/>
  <c r="BC19" i="18" s="1"/>
  <c r="BB8" i="18"/>
  <c r="BB9" i="18"/>
  <c r="BB11" i="18"/>
  <c r="BB10" i="18"/>
  <c r="BB14" i="18"/>
  <c r="BB15" i="18"/>
  <c r="BC26" i="18" l="1"/>
  <c r="BC25" i="18"/>
  <c r="BC20" i="18"/>
  <c r="BC17" i="18"/>
  <c r="BC21" i="18"/>
  <c r="BC23" i="18"/>
  <c r="BC24" i="18"/>
  <c r="BC43" i="18"/>
  <c r="BD4" i="18"/>
  <c r="BD22" i="18" s="1"/>
  <c r="BC22" i="18"/>
  <c r="BC12" i="18"/>
  <c r="BC8" i="18"/>
  <c r="BC7" i="18"/>
  <c r="BC10" i="18"/>
  <c r="BC9" i="18"/>
  <c r="BC6" i="18"/>
  <c r="BC13" i="18"/>
  <c r="BC14" i="18"/>
  <c r="BC11" i="18"/>
  <c r="BC16" i="18"/>
  <c r="BC15" i="18"/>
  <c r="BC18" i="18"/>
  <c r="BD20" i="18" l="1"/>
  <c r="BD17" i="18"/>
  <c r="BE4" i="18"/>
  <c r="BE19" i="18" s="1"/>
  <c r="BD8" i="18"/>
  <c r="BD18" i="18"/>
  <c r="BD15" i="18"/>
  <c r="BD9" i="18"/>
  <c r="BD6" i="18"/>
  <c r="BD7" i="18"/>
  <c r="BD21" i="18"/>
  <c r="BD12" i="18"/>
  <c r="BD25" i="18"/>
  <c r="BD13" i="18"/>
  <c r="BD10" i="18"/>
  <c r="BD23" i="18"/>
  <c r="BD14" i="18"/>
  <c r="BD19" i="18"/>
  <c r="BD24" i="18"/>
  <c r="BD26" i="18"/>
  <c r="BD43" i="18"/>
  <c r="BD11" i="18"/>
  <c r="BD16" i="18"/>
  <c r="BE6" i="18" l="1"/>
  <c r="BE10" i="18"/>
  <c r="BE7" i="18"/>
  <c r="BE14" i="18"/>
  <c r="BF4" i="18"/>
  <c r="BF16" i="18" s="1"/>
  <c r="BE8" i="18"/>
  <c r="BE3" i="18"/>
  <c r="BE17" i="18"/>
  <c r="BE11" i="18"/>
  <c r="BE43" i="18"/>
  <c r="BE15" i="18"/>
  <c r="BE12" i="18"/>
  <c r="BE25" i="18"/>
  <c r="BE26" i="18"/>
  <c r="BE20" i="18"/>
  <c r="BE9" i="18"/>
  <c r="BE13" i="18"/>
  <c r="BE16" i="18"/>
  <c r="BE21" i="18"/>
  <c r="BE18" i="18"/>
  <c r="BE23" i="18"/>
  <c r="BE24" i="18"/>
  <c r="BE22" i="18"/>
  <c r="BF7" i="18" l="1"/>
  <c r="BF9" i="18"/>
  <c r="BF19" i="18"/>
  <c r="BF6" i="18"/>
  <c r="BG4" i="18"/>
  <c r="BG43" i="18" s="1"/>
  <c r="BF13" i="18"/>
  <c r="BF8" i="18"/>
  <c r="BF10" i="18"/>
  <c r="BF15" i="18"/>
  <c r="BF12" i="18"/>
  <c r="BF20" i="18"/>
  <c r="BF14" i="18"/>
  <c r="BF17" i="18"/>
  <c r="BF18" i="18"/>
  <c r="BF22" i="18"/>
  <c r="BF21" i="18"/>
  <c r="BF23" i="18"/>
  <c r="BF26" i="18"/>
  <c r="BF11" i="18"/>
  <c r="BF43" i="18"/>
  <c r="BF24" i="18"/>
  <c r="BF25" i="18"/>
  <c r="BG10" i="18" l="1"/>
  <c r="BG12" i="18"/>
  <c r="BH4" i="18"/>
  <c r="BH43" i="18" s="1"/>
  <c r="BG6" i="18"/>
  <c r="BG7" i="18"/>
  <c r="BG9" i="18"/>
  <c r="BG13" i="18"/>
  <c r="BG18" i="18"/>
  <c r="BG22" i="18"/>
  <c r="BG14" i="18"/>
  <c r="BG15" i="18"/>
  <c r="BG11" i="18"/>
  <c r="BG19" i="18"/>
  <c r="BG16" i="18"/>
  <c r="BG20" i="18"/>
  <c r="BG17" i="18"/>
  <c r="BG21" i="18"/>
  <c r="BG23" i="18"/>
  <c r="BG25" i="18"/>
  <c r="BG24" i="18"/>
  <c r="BG26" i="18"/>
  <c r="BG8" i="18"/>
  <c r="BH8" i="18" l="1"/>
  <c r="BH7" i="18"/>
  <c r="BH11" i="18"/>
  <c r="BH15" i="18"/>
  <c r="BH9" i="18"/>
  <c r="BH6" i="18"/>
  <c r="BH12" i="18"/>
  <c r="BH17" i="18"/>
  <c r="BH21" i="18"/>
  <c r="BH13" i="18"/>
  <c r="BH18" i="18"/>
  <c r="BH10" i="18"/>
  <c r="BH14" i="18"/>
  <c r="BH22" i="18"/>
  <c r="BH23" i="18"/>
  <c r="BH25" i="18"/>
  <c r="BH19" i="18"/>
  <c r="BH16" i="18"/>
  <c r="BH20" i="18"/>
  <c r="BH24" i="18"/>
  <c r="BH26" i="18"/>
  <c r="BI4" i="18"/>
  <c r="BJ4" i="18" s="1"/>
  <c r="BI18" i="18" l="1"/>
  <c r="BI22" i="18"/>
  <c r="BI26" i="18"/>
  <c r="BI21" i="18"/>
  <c r="BI24" i="18"/>
  <c r="BI43" i="18"/>
  <c r="BI19" i="18"/>
  <c r="BI13" i="18"/>
  <c r="BI23" i="18"/>
  <c r="BI25" i="18"/>
  <c r="BI20" i="18"/>
  <c r="BI17" i="18"/>
  <c r="BI9" i="18"/>
  <c r="BI12" i="18"/>
  <c r="BI15" i="18"/>
  <c r="BI16" i="18"/>
  <c r="BI11" i="18"/>
  <c r="BI14" i="18"/>
  <c r="BI8" i="18"/>
  <c r="BI6" i="18"/>
  <c r="BI10" i="18"/>
  <c r="BI7" i="18"/>
  <c r="BJ43" i="18"/>
  <c r="BJ26" i="18"/>
  <c r="BJ25" i="18"/>
  <c r="BJ24" i="18"/>
  <c r="BJ23" i="18"/>
  <c r="BJ22" i="18"/>
  <c r="BJ18" i="18"/>
  <c r="BJ21" i="18"/>
  <c r="BJ17" i="18"/>
  <c r="BJ20" i="18"/>
  <c r="BJ12" i="18"/>
  <c r="BJ16" i="18"/>
  <c r="BJ15" i="18"/>
  <c r="BJ19" i="18"/>
  <c r="BJ14" i="18"/>
  <c r="BJ10" i="18"/>
  <c r="BJ11" i="18"/>
  <c r="BJ8" i="18"/>
  <c r="BK4" i="18"/>
  <c r="BJ7" i="18"/>
  <c r="BJ6" i="18"/>
  <c r="BJ13" i="18"/>
  <c r="BJ9" i="18"/>
  <c r="BK43" i="18" l="1"/>
  <c r="BK26" i="18"/>
  <c r="BK25" i="18"/>
  <c r="BK24" i="18"/>
  <c r="BK23" i="18"/>
  <c r="BK22" i="18"/>
  <c r="BK21" i="18"/>
  <c r="BK17" i="18"/>
  <c r="BK20" i="18"/>
  <c r="BK16" i="18"/>
  <c r="BK19" i="18"/>
  <c r="BK18" i="18"/>
  <c r="BK15" i="18"/>
  <c r="BK11" i="18"/>
  <c r="BK14" i="18"/>
  <c r="BK13" i="18"/>
  <c r="BK10" i="18"/>
  <c r="BK7" i="18"/>
  <c r="BK6" i="18"/>
  <c r="BK12" i="18"/>
  <c r="BK9" i="18"/>
  <c r="BK8" i="18"/>
</calcChain>
</file>

<file path=xl/sharedStrings.xml><?xml version="1.0" encoding="utf-8"?>
<sst xmlns="http://schemas.openxmlformats.org/spreadsheetml/2006/main" count="80" uniqueCount="67">
  <si>
    <t>Category</t>
  </si>
  <si>
    <t>Milestone</t>
  </si>
  <si>
    <t>Progress</t>
  </si>
  <si>
    <t>Low Risk</t>
  </si>
  <si>
    <t>High Risk</t>
  </si>
  <si>
    <t>On Track</t>
  </si>
  <si>
    <t>Legend:</t>
  </si>
  <si>
    <t>Unassigned</t>
  </si>
  <si>
    <t>To add more data, Insert new rows ABOVE this one</t>
  </si>
  <si>
    <t>On track</t>
  </si>
  <si>
    <t>Low risk</t>
  </si>
  <si>
    <t>Med risk</t>
  </si>
  <si>
    <t>High risk</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</si>
  <si>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</si>
  <si>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</si>
  <si>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</si>
  <si>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start date:</t>
  </si>
  <si>
    <t>Scrolling increment:</t>
  </si>
  <si>
    <t>Week &amp; description</t>
  </si>
  <si>
    <t>Environment setup</t>
  </si>
  <si>
    <t>Backend scaffolding</t>
  </si>
  <si>
    <t>Database setup</t>
  </si>
  <si>
    <t>Meghan Carr</t>
  </si>
  <si>
    <t>Water Project - Snap &amp; Map</t>
  </si>
  <si>
    <t>Photo upload flow</t>
  </si>
  <si>
    <t>Metadata capture</t>
  </si>
  <si>
    <t>Save submission</t>
  </si>
  <si>
    <t>Help or Resource</t>
  </si>
  <si>
    <t>Store AI outputs</t>
  </si>
  <si>
    <t>Submission checks</t>
  </si>
  <si>
    <t>UX refinement</t>
  </si>
  <si>
    <t>Ethics &amp; clarity</t>
  </si>
  <si>
    <t>Accessibility</t>
  </si>
  <si>
    <t>End-to-end testing</t>
  </si>
  <si>
    <t>Data review</t>
  </si>
  <si>
    <t>Performance check</t>
  </si>
  <si>
    <t>MVP criteria check</t>
  </si>
  <si>
    <t>Week 7 - LAST</t>
  </si>
  <si>
    <t>Technical document’n</t>
  </si>
  <si>
    <t>Grant-facing language</t>
  </si>
  <si>
    <t>User guidance</t>
  </si>
  <si>
    <t>Ethics &amp; limits</t>
  </si>
  <si>
    <t>Week 1 of 7 - Project Setup</t>
  </si>
  <si>
    <t>Week 2 of 7 - Core Feature</t>
  </si>
  <si>
    <t>Week 3 of 7</t>
  </si>
  <si>
    <t>Week 4 of 7</t>
  </si>
  <si>
    <t>Week 5 of 7</t>
  </si>
  <si>
    <t>Week 6 of 7</t>
  </si>
  <si>
    <t>Final testing</t>
  </si>
  <si>
    <t>Polish MVP</t>
  </si>
  <si>
    <t>Milestone confirmation</t>
  </si>
  <si>
    <t>Phase 1 MVP complete</t>
  </si>
  <si>
    <t>Proposal; AI for 3rd</t>
  </si>
  <si>
    <t>Confirm scope, tech stack, &amp; schema</t>
  </si>
  <si>
    <r>
      <t>Length</t>
    </r>
    <r>
      <rPr>
        <sz val="11"/>
        <color theme="0"/>
        <rFont val="Calibri"/>
        <family val="2"/>
        <scheme val="minor"/>
      </rPr>
      <t xml:space="preserve"> (days)</t>
    </r>
  </si>
  <si>
    <t>Start 2026</t>
  </si>
  <si>
    <t>Proposal; prior repos; AI reinf.</t>
  </si>
  <si>
    <t>Proposal; prior repos</t>
  </si>
  <si>
    <t>Proposal; W3 Sch., G2G</t>
  </si>
  <si>
    <t>Micro-learning</t>
  </si>
  <si>
    <t xml:space="preserve">EXIF; </t>
  </si>
  <si>
    <t>Cache</t>
  </si>
  <si>
    <t>View saved records &amp; Model PROTOTYPE</t>
  </si>
  <si>
    <t>Staff Support</t>
  </si>
  <si>
    <t>AI labeling/description design</t>
  </si>
  <si>
    <t>AI label/description suggestions</t>
  </si>
  <si>
    <t>Done w/ Model_RAG… Line 8 &amp;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</si>
</sst>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d"/>
    <numFmt numFmtId="165" formatCode="m/d;@"/>
  </numFmts>
  <fonts count="29"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b/>
      <sz val="11"/>
      <name val="Calibri"/>
      <family val="2"/>
      <scheme val="minor"/>
    </font>
    <font>
      <sz val="14"/>
      <name val="Calibri"/>
      <family val="2"/>
      <scheme val="minor"/>
    </font>
    <font>
      <b/>
      <sz val="11"/>
      <color theme="0"/>
      <name val="Calibri"/>
      <family val="2"/>
      <scheme val="minor"/>
    </font>
    <font>
      <b/>
      <sz val="22"/>
      <name val="Calibri"/>
      <family val="2"/>
      <scheme val="major"/>
    </font>
    <font>
      <sz val="22"/>
      <name val="Corbel"/>
      <family val="2"/>
    </font>
    <font>
      <sz val="20"/>
      <color theme="8" tint="0.59999389629810485"/>
      <name val="Calibri"/>
      <family val="2"/>
      <scheme val="major"/>
    </font>
    <font>
      <b/>
      <sz val="24"/>
      <color theme="0"/>
      <name val="Calibri"/>
      <family val="2"/>
      <scheme val="major"/>
    </font>
    <font>
      <b/>
      <sz val="11"/>
      <color rgb="FFFFFF00"/>
      <name val="Calibri"/>
      <family val="2"/>
      <scheme val="minor"/>
    </font>
    <font>
      <sz val="11"/>
      <color rgb="FFFFFF00"/>
      <name val="Calibri"/>
      <family val="2"/>
      <scheme val="minor"/>
    </font>
    <font>
      <sz val="11"/>
      <color theme="0" tint="-0.499984740745262"/>
      <name val="Calibri"/>
      <family val="2"/>
      <scheme val="minor"/>
    </font>
    <font>
      <b/>
      <sz val="14"/>
      <color rgb="FF000000"/>
      <name val="Calibri"/>
      <family val="2"/>
      <scheme val="minor"/>
    </font>
    <font>
      <b/>
      <sz val="14"/>
      <color theme="1"/>
      <name val="Calibri"/>
      <family val="2"/>
      <scheme val="minor"/>
    </font>
    <font>
      <sz val="11"/>
      <color rgb="FFFFFF66"/>
      <name val="Calibri"/>
      <family val="2"/>
      <scheme val="minor"/>
    </font>
    <font>
      <sz val="18"/>
      <color theme="9" tint="-0.499984740745262"/>
      <name val="Calibri"/>
      <family val="2"/>
      <scheme val="minor"/>
    </font>
    <font>
      <b/>
      <sz val="20"/>
      <color theme="8" tint="-0.249977111117893"/>
      <name val="Calibri"/>
      <family val="2"/>
      <scheme val="minor"/>
    </font>
  </fonts>
  <fills count="24">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00000"/>
        <bgColor indexed="64"/>
      </patternFill>
    </fill>
    <fill>
      <patternFill patternType="solid">
        <fgColor theme="3"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9900"/>
        <bgColor indexed="64"/>
      </patternFill>
    </fill>
    <fill>
      <patternFill patternType="solid">
        <fgColor rgb="FFFFFF66"/>
        <bgColor indexed="64"/>
      </patternFill>
    </fill>
    <fill>
      <patternFill patternType="solid">
        <fgColor theme="9" tint="-0.249977111117893"/>
        <bgColor indexed="64"/>
      </patternFill>
    </fill>
    <fill>
      <patternFill patternType="solid">
        <fgColor rgb="FFFFFF00"/>
        <bgColor indexed="64"/>
      </patternFill>
    </fill>
    <fill>
      <patternFill patternType="solid">
        <fgColor rgb="FFE27100"/>
        <bgColor indexed="64"/>
      </patternFill>
    </fill>
    <fill>
      <patternFill patternType="solid">
        <fgColor theme="2" tint="-4.9989318521683403E-2"/>
        <bgColor indexed="64"/>
      </patternFill>
    </fill>
    <fill>
      <patternFill patternType="solid">
        <fgColor rgb="FF00FF00"/>
        <bgColor indexed="64"/>
      </patternFill>
    </fill>
    <fill>
      <patternFill patternType="solid">
        <fgColor rgb="FFFFD08B"/>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11">
    <xf numFmtId="0" fontId="0" fillId="0" borderId="0" xfId="0"/>
    <xf numFmtId="0" fontId="0" fillId="0" borderId="0" xfId="0" applyAlignment="1">
      <alignment vertical="center"/>
    </xf>
    <xf numFmtId="0" fontId="0" fillId="0" borderId="0" xfId="0" applyAlignment="1">
      <alignment horizontal="right" vertical="center"/>
    </xf>
    <xf numFmtId="0" fontId="1" fillId="0" borderId="0" xfId="0" applyFont="1"/>
    <xf numFmtId="0" fontId="9" fillId="0" borderId="0" xfId="0" applyFont="1"/>
    <xf numFmtId="0" fontId="1" fillId="0" borderId="0" xfId="0" applyFont="1" applyAlignment="1">
      <alignment vertical="top"/>
    </xf>
    <xf numFmtId="0" fontId="10" fillId="0" borderId="0" xfId="0" applyFont="1" applyAlignment="1">
      <alignment horizontal="center" vertical="center"/>
    </xf>
    <xf numFmtId="0" fontId="0" fillId="0" borderId="4" xfId="0" applyBorder="1" applyAlignment="1">
      <alignment horizontal="center" vertical="center"/>
    </xf>
    <xf numFmtId="0" fontId="0" fillId="0" borderId="6" xfId="0" applyBorder="1" applyAlignment="1">
      <alignment vertical="center"/>
    </xf>
    <xf numFmtId="0" fontId="3" fillId="0" borderId="0" xfId="0" applyFont="1" applyAlignment="1">
      <alignment horizontal="center" vertical="center"/>
    </xf>
    <xf numFmtId="37" fontId="3" fillId="0" borderId="0" xfId="10" applyFont="1" applyFill="1" applyBorder="1">
      <alignment horizontal="center" vertical="center"/>
    </xf>
    <xf numFmtId="0" fontId="3" fillId="0" borderId="0" xfId="0" applyFont="1" applyAlignment="1">
      <alignment vertical="center"/>
    </xf>
    <xf numFmtId="0" fontId="3" fillId="0" borderId="0" xfId="0" applyFont="1" applyAlignment="1">
      <alignment horizontal="right" vertical="center"/>
    </xf>
    <xf numFmtId="14" fontId="3" fillId="0" borderId="0" xfId="9" applyFont="1" applyFill="1" applyBorder="1" applyAlignment="1">
      <alignment horizontal="left" vertical="center"/>
    </xf>
    <xf numFmtId="0" fontId="3" fillId="0" borderId="0" xfId="0" applyFont="1" applyAlignment="1">
      <alignment horizontal="left"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2" xfId="0" applyBorder="1" applyAlignment="1">
      <alignment vertical="center"/>
    </xf>
    <xf numFmtId="164" fontId="1" fillId="10" borderId="7"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8"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0" xfId="0" applyNumberFormat="1" applyFont="1" applyFill="1" applyBorder="1" applyAlignment="1">
      <alignment horizontal="center" vertical="center"/>
    </xf>
    <xf numFmtId="164" fontId="1" fillId="10" borderId="11"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8" fillId="0" borderId="0" xfId="6" applyFont="1" applyFill="1" applyAlignment="1">
      <alignment vertical="center"/>
    </xf>
    <xf numFmtId="0" fontId="9" fillId="2" borderId="0" xfId="0" applyFont="1" applyFill="1"/>
    <xf numFmtId="0" fontId="19" fillId="2" borderId="0" xfId="0" applyFont="1" applyFill="1"/>
    <xf numFmtId="0" fontId="17"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9" borderId="0" xfId="0" applyFont="1" applyFill="1"/>
    <xf numFmtId="0" fontId="16" fillId="9" borderId="0" xfId="0" applyFont="1" applyFill="1" applyAlignment="1">
      <alignment horizontal="center" vertical="center" wrapText="1"/>
    </xf>
    <xf numFmtId="0" fontId="22" fillId="11" borderId="0" xfId="0" applyFont="1" applyFill="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3" fillId="14" borderId="0" xfId="0" applyFont="1" applyFill="1" applyAlignment="1">
      <alignment horizontal="center" vertical="center"/>
    </xf>
    <xf numFmtId="0" fontId="3" fillId="15" borderId="0" xfId="0" applyFont="1" applyFill="1" applyAlignment="1">
      <alignment horizontal="center" vertical="center"/>
    </xf>
    <xf numFmtId="14" fontId="23" fillId="0" borderId="0" xfId="9" applyFont="1" applyFill="1" applyBorder="1" applyAlignment="1">
      <alignment horizontal="left" vertical="center"/>
    </xf>
    <xf numFmtId="0" fontId="12" fillId="0" borderId="9" xfId="0" applyFont="1" applyBorder="1" applyAlignment="1">
      <alignment vertical="center"/>
    </xf>
    <xf numFmtId="0" fontId="24" fillId="0" borderId="9" xfId="0" applyFont="1" applyBorder="1" applyAlignment="1">
      <alignment vertical="center"/>
    </xf>
    <xf numFmtId="0" fontId="3" fillId="16" borderId="0" xfId="0" applyFont="1" applyFill="1" applyAlignment="1">
      <alignment horizontal="center" vertical="center"/>
    </xf>
    <xf numFmtId="0" fontId="0" fillId="17" borderId="4" xfId="0" applyFill="1" applyBorder="1" applyAlignment="1">
      <alignment horizontal="center" vertical="center"/>
    </xf>
    <xf numFmtId="164" fontId="1" fillId="17" borderId="5" xfId="0" applyNumberFormat="1" applyFont="1" applyFill="1" applyBorder="1" applyAlignment="1">
      <alignment horizontal="center" vertical="center"/>
    </xf>
    <xf numFmtId="0" fontId="28" fillId="0" borderId="0" xfId="6" applyFont="1" applyFill="1" applyAlignment="1">
      <alignment horizontal="left" vertical="center"/>
    </xf>
    <xf numFmtId="0" fontId="15" fillId="0" borderId="0" xfId="6" applyFont="1" applyFill="1" applyAlignment="1">
      <alignment horizontal="left" vertical="center"/>
    </xf>
    <xf numFmtId="0" fontId="27" fillId="0" borderId="0" xfId="0" applyFont="1" applyAlignment="1">
      <alignment horizontal="left" vertical="center"/>
    </xf>
    <xf numFmtId="0" fontId="23" fillId="0" borderId="0" xfId="8" applyFont="1" applyFill="1" applyAlignment="1">
      <alignment horizontal="left" vertical="center"/>
    </xf>
    <xf numFmtId="0" fontId="25" fillId="0" borderId="9" xfId="0" applyFont="1" applyBorder="1" applyAlignment="1">
      <alignment vertical="center"/>
    </xf>
    <xf numFmtId="0" fontId="3" fillId="0" borderId="0" xfId="8" applyFont="1" applyFill="1" applyAlignment="1">
      <alignment horizontal="left" vertical="center"/>
    </xf>
    <xf numFmtId="0" fontId="3" fillId="0" borderId="3" xfId="0" applyFont="1" applyBorder="1" applyAlignment="1">
      <alignment vertical="center"/>
    </xf>
    <xf numFmtId="0" fontId="16" fillId="9" borderId="0" xfId="0" applyFont="1" applyFill="1" applyAlignment="1">
      <alignment horizontal="left" vertical="center"/>
    </xf>
    <xf numFmtId="0" fontId="14" fillId="12" borderId="0" xfId="0" applyFont="1" applyFill="1" applyAlignment="1">
      <alignment horizontal="left" vertical="center" wrapText="1"/>
    </xf>
    <xf numFmtId="37" fontId="3" fillId="12" borderId="0" xfId="10" applyFont="1" applyFill="1" applyBorder="1">
      <alignment horizontal="center" vertical="center"/>
    </xf>
    <xf numFmtId="0" fontId="3" fillId="0" borderId="0" xfId="0" applyFont="1" applyAlignment="1">
      <alignment horizontal="left" vertical="center" wrapText="1"/>
    </xf>
    <xf numFmtId="0" fontId="26" fillId="18" borderId="0" xfId="0" applyFont="1" applyFill="1" applyAlignment="1">
      <alignment horizontal="left" vertical="center" wrapText="1"/>
    </xf>
    <xf numFmtId="0" fontId="14" fillId="14" borderId="0" xfId="0" applyFont="1" applyFill="1" applyAlignment="1">
      <alignment horizontal="left" vertical="center" wrapText="1"/>
    </xf>
    <xf numFmtId="37" fontId="3" fillId="14" borderId="0" xfId="10" applyFont="1" applyFill="1" applyBorder="1">
      <alignment horizontal="center" vertical="center"/>
    </xf>
    <xf numFmtId="0" fontId="14" fillId="15" borderId="0" xfId="0" applyFont="1" applyFill="1" applyAlignment="1">
      <alignment horizontal="left" vertical="center" wrapText="1"/>
    </xf>
    <xf numFmtId="37" fontId="3" fillId="15" borderId="0" xfId="10" applyFont="1" applyFill="1" applyBorder="1">
      <alignment horizontal="center" vertical="center"/>
    </xf>
    <xf numFmtId="0" fontId="14" fillId="13" borderId="0" xfId="0" applyFont="1" applyFill="1" applyAlignment="1">
      <alignment horizontal="left" vertical="center" wrapText="1"/>
    </xf>
    <xf numFmtId="37" fontId="3" fillId="13" borderId="0" xfId="10" applyFont="1" applyFill="1" applyBorder="1">
      <alignment horizontal="center" vertical="center"/>
    </xf>
    <xf numFmtId="0" fontId="14" fillId="16" borderId="0" xfId="0" applyFont="1" applyFill="1" applyAlignment="1">
      <alignment horizontal="left" vertical="center" wrapText="1"/>
    </xf>
    <xf numFmtId="37" fontId="3" fillId="16" borderId="0" xfId="10" applyFont="1" applyFill="1" applyBorder="1">
      <alignment horizontal="center" vertical="center"/>
    </xf>
    <xf numFmtId="0" fontId="21" fillId="11" borderId="0" xfId="0" applyFont="1" applyFill="1" applyAlignment="1">
      <alignment horizontal="left" vertical="center" wrapText="1"/>
    </xf>
    <xf numFmtId="37" fontId="22" fillId="11" borderId="0" xfId="10" applyFont="1" applyFill="1" applyBorder="1">
      <alignment horizontal="center" vertical="center"/>
    </xf>
    <xf numFmtId="0" fontId="7" fillId="0" borderId="0" xfId="0" applyFont="1" applyAlignment="1">
      <alignment vertical="center"/>
    </xf>
    <xf numFmtId="0" fontId="8" fillId="0" borderId="0" xfId="1" applyFont="1" applyAlignment="1" applyProtection="1">
      <alignment vertical="center"/>
    </xf>
    <xf numFmtId="0" fontId="10" fillId="9" borderId="0" xfId="0" applyFont="1" applyFill="1" applyAlignment="1">
      <alignment horizontal="center" vertical="center" wrapText="1"/>
    </xf>
    <xf numFmtId="9" fontId="3" fillId="12" borderId="0" xfId="2" applyFont="1" applyFill="1" applyBorder="1">
      <alignment horizontal="center" vertical="center"/>
    </xf>
    <xf numFmtId="9" fontId="3" fillId="0" borderId="0" xfId="2" applyFont="1" applyFill="1" applyBorder="1">
      <alignment horizontal="center" vertical="center"/>
    </xf>
    <xf numFmtId="9" fontId="3" fillId="14" borderId="0" xfId="2" applyFont="1" applyFill="1" applyBorder="1">
      <alignment horizontal="center" vertical="center"/>
    </xf>
    <xf numFmtId="9" fontId="3" fillId="15" borderId="0" xfId="2" applyFont="1" applyFill="1" applyBorder="1">
      <alignment horizontal="center" vertical="center"/>
    </xf>
    <xf numFmtId="9" fontId="3" fillId="13" borderId="0" xfId="2" applyFont="1" applyFill="1" applyBorder="1">
      <alignment horizontal="center" vertical="center"/>
    </xf>
    <xf numFmtId="9" fontId="3" fillId="16" borderId="0" xfId="2" applyFont="1" applyFill="1" applyBorder="1">
      <alignment horizontal="center" vertical="center"/>
    </xf>
    <xf numFmtId="9" fontId="22" fillId="11" borderId="0" xfId="2" applyFont="1" applyFill="1" applyBorder="1">
      <alignment horizontal="center" vertical="center"/>
    </xf>
    <xf numFmtId="165" fontId="3" fillId="0" borderId="0" xfId="0" applyNumberFormat="1" applyFont="1" applyAlignment="1">
      <alignment horizontal="center" vertical="center"/>
    </xf>
    <xf numFmtId="165" fontId="3" fillId="0" borderId="0" xfId="0" applyNumberFormat="1" applyFont="1" applyAlignment="1">
      <alignment vertical="center"/>
    </xf>
    <xf numFmtId="165" fontId="16" fillId="9" borderId="0" xfId="0" applyNumberFormat="1" applyFont="1" applyFill="1" applyAlignment="1">
      <alignment horizontal="center" vertical="center" wrapText="1"/>
    </xf>
    <xf numFmtId="165" fontId="3" fillId="12" borderId="0" xfId="9" applyNumberFormat="1" applyFont="1" applyFill="1" applyBorder="1">
      <alignment horizontal="center" vertical="center"/>
    </xf>
    <xf numFmtId="165" fontId="3" fillId="0" borderId="0" xfId="9" applyNumberFormat="1" applyFont="1" applyFill="1" applyBorder="1">
      <alignment horizontal="center" vertical="center"/>
    </xf>
    <xf numFmtId="165" fontId="3" fillId="14" borderId="0" xfId="9" applyNumberFormat="1" applyFont="1" applyFill="1" applyBorder="1">
      <alignment horizontal="center" vertical="center"/>
    </xf>
    <xf numFmtId="165" fontId="3" fillId="15" borderId="0" xfId="9" applyNumberFormat="1" applyFont="1" applyFill="1" applyBorder="1">
      <alignment horizontal="center" vertical="center"/>
    </xf>
    <xf numFmtId="165" fontId="3" fillId="13" borderId="0" xfId="9" applyNumberFormat="1" applyFont="1" applyFill="1" applyBorder="1">
      <alignment horizontal="center" vertical="center"/>
    </xf>
    <xf numFmtId="165" fontId="3" fillId="16" borderId="0" xfId="9" applyNumberFormat="1" applyFont="1" applyFill="1" applyBorder="1">
      <alignment horizontal="center" vertical="center"/>
    </xf>
    <xf numFmtId="165" fontId="22" fillId="11" borderId="0" xfId="9" applyNumberFormat="1" applyFont="1" applyFill="1" applyBorder="1">
      <alignment horizontal="center" vertical="center"/>
    </xf>
    <xf numFmtId="165" fontId="3" fillId="0" borderId="0" xfId="9" applyNumberFormat="1" applyFont="1" applyFill="1">
      <alignment horizontal="center" vertical="center"/>
    </xf>
    <xf numFmtId="165" fontId="0" fillId="0" borderId="0" xfId="0" applyNumberFormat="1" applyAlignment="1">
      <alignment horizontal="center" vertical="center"/>
    </xf>
    <xf numFmtId="0" fontId="3" fillId="19" borderId="0" xfId="0" applyFont="1" applyFill="1" applyAlignment="1">
      <alignment horizontal="left" vertical="center" wrapText="1"/>
    </xf>
    <xf numFmtId="165" fontId="3" fillId="19" borderId="0" xfId="9" applyNumberFormat="1" applyFont="1" applyFill="1" applyBorder="1">
      <alignment horizontal="center" vertical="center"/>
    </xf>
    <xf numFmtId="0" fontId="20" fillId="9" borderId="0" xfId="6" applyFont="1" applyFill="1" applyAlignment="1">
      <alignment horizontal="left" vertical="center"/>
    </xf>
    <xf numFmtId="0" fontId="15" fillId="2" borderId="0" xfId="6" applyFont="1" applyFill="1" applyAlignment="1">
      <alignment horizontal="left" vertical="center" wrapText="1"/>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13" fillId="5" borderId="0" xfId="11" applyFont="1" applyFill="1" applyAlignment="1">
      <alignment horizontal="center" vertical="center"/>
    </xf>
    <xf numFmtId="0" fontId="12" fillId="7" borderId="0" xfId="0" applyFont="1" applyFill="1" applyAlignment="1">
      <alignment horizontal="center" vertical="center"/>
    </xf>
    <xf numFmtId="0" fontId="13" fillId="8" borderId="0" xfId="0" applyFont="1" applyFill="1" applyAlignment="1">
      <alignment horizontal="center" vertical="center"/>
    </xf>
    <xf numFmtId="164" fontId="1" fillId="20" borderId="5" xfId="0" applyNumberFormat="1" applyFont="1" applyFill="1" applyBorder="1" applyAlignment="1">
      <alignment horizontal="center" vertical="center"/>
    </xf>
    <xf numFmtId="0" fontId="0" fillId="20" borderId="4" xfId="0" applyFill="1" applyBorder="1" applyAlignment="1">
      <alignment horizontal="center" vertical="center"/>
    </xf>
    <xf numFmtId="164" fontId="1" fillId="11" borderId="5" xfId="0" applyNumberFormat="1" applyFont="1" applyFill="1" applyBorder="1" applyAlignment="1">
      <alignment horizontal="center" vertical="center"/>
    </xf>
    <xf numFmtId="0" fontId="0" fillId="11" borderId="4" xfId="0" applyFill="1" applyBorder="1" applyAlignment="1">
      <alignment horizontal="center" vertical="center"/>
    </xf>
    <xf numFmtId="0" fontId="0" fillId="21" borderId="4" xfId="0" applyFill="1" applyBorder="1" applyAlignment="1">
      <alignment horizontal="center" vertical="center"/>
    </xf>
    <xf numFmtId="0" fontId="0" fillId="22" borderId="4" xfId="0" applyFill="1" applyBorder="1" applyAlignment="1">
      <alignment horizontal="center" vertical="center"/>
    </xf>
    <xf numFmtId="0" fontId="14" fillId="23" borderId="0" xfId="0" applyFont="1" applyFill="1" applyAlignment="1">
      <alignment horizontal="left" vertical="center" wrapText="1"/>
    </xf>
    <xf numFmtId="0" fontId="3" fillId="23" borderId="0" xfId="0" applyFont="1" applyFill="1" applyAlignment="1">
      <alignment horizontal="center" vertical="center"/>
    </xf>
    <xf numFmtId="9" fontId="3" fillId="23" borderId="0" xfId="2" applyFont="1" applyFill="1" applyBorder="1">
      <alignment horizontal="center" vertical="center"/>
    </xf>
    <xf numFmtId="165" fontId="3" fillId="23" borderId="0" xfId="9" applyNumberFormat="1" applyFont="1" applyFill="1" applyBorder="1">
      <alignment horizontal="center" vertical="center"/>
    </xf>
    <xf numFmtId="37" fontId="3" fillId="23" borderId="0" xfId="10" applyFont="1" applyFill="1" applyBorder="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5">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vertical="center" textRotation="0" indent="0" justifyLastLine="0" readingOrder="0"/>
    </dxf>
    <dxf>
      <numFmt numFmtId="165" formatCode="m/d;@"/>
      <alignment vertical="center" textRotation="0" indent="0" justifyLastLine="0" readingOrder="0"/>
    </dxf>
    <dxf>
      <font>
        <b val="0"/>
      </font>
      <alignment vertical="center" textRotation="0" indent="0" justifyLastLine="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vertical="center" textRotation="0" indent="0" justifyLastLine="0" readingOrder="0"/>
    </dxf>
    <dxf>
      <font>
        <b/>
        <strike val="0"/>
        <outline val="0"/>
        <shadow val="0"/>
        <u val="none"/>
        <vertAlign val="baseline"/>
        <sz val="12"/>
        <color theme="0"/>
        <name val="Calibri"/>
        <family val="2"/>
        <scheme val="minor"/>
      </font>
      <fill>
        <patternFill patternType="solid">
          <fgColor indexed="64"/>
          <bgColor theme="9" tint="-0.499984740745262"/>
        </patternFill>
      </fill>
      <alignment vertical="center" textRotation="0" indent="0" justifyLastLine="0" readingOrder="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Gantt Table Style" pivot="0" count="4" xr9:uid="{4904D139-63E4-4221-B7C9-C6C5B7A50FAF}">
      <tableStyleElement type="wholeTable" dxfId="34"/>
      <tableStyleElement type="headerRow" dxfId="33"/>
      <tableStyleElement type="firstRowStripe" dxfId="32"/>
      <tableStyleElement type="secondRowStripe" dxfId="31"/>
    </tableStyle>
    <tableStyle name="ToDoList" pivot="0" count="9"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secondRowStripe" dxfId="24"/>
      <tableStyleElement type="firstColumnStripe" dxfId="23"/>
      <tableStyleElement type="secondColumn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66"/>
      <color rgb="FFFFD08B"/>
      <color rgb="FF00FF00"/>
      <color rgb="FFE27100"/>
      <color rgb="FFFFC46D"/>
      <color rgb="FFFF9900"/>
      <color rgb="FFFF9966"/>
      <color rgb="FF663300"/>
      <color rgb="FFFFFF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B$4" horiz="1" max="365" page="2" val="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4</xdr:row>
          <xdr:rowOff>57150</xdr:rowOff>
        </xdr:from>
        <xdr:to>
          <xdr:col>62</xdr:col>
          <xdr:colOff>228601</xdr:colOff>
          <xdr:row>5</xdr:row>
          <xdr:rowOff>57150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A6:F44" totalsRowShown="0" headerRowDxfId="21" dataDxfId="20">
  <autoFilter ref="A6:F4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Week &amp; description" dataDxfId="19"/>
    <tableColumn id="2" xr3:uid="{4492A0B8-068F-4002-9E8D-E1F5FED367F0}" name="Category" dataDxfId="18"/>
    <tableColumn id="3" xr3:uid="{DF1A764E-7050-4528-B7F9-B6AB99372146}" name="Help or Resource" dataDxfId="17"/>
    <tableColumn id="4" xr3:uid="{47C54592-75B0-4C70-BBF8-0F40483670E9}" name="Progress" dataDxfId="16"/>
    <tableColumn id="5" xr3:uid="{663FB5E0-7616-4EA5-B56A-FF069E2E07D7}" name="Start 2026" dataDxfId="15" dataCellStyle="Date"/>
    <tableColumn id="6" xr3:uid="{3B766962-C06F-4E12-BE91-12AB93439874}" name="Length (days)" dataDxfId="14"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09375" defaultRowHeight="13.8" x14ac:dyDescent="0.3"/>
  <cols>
    <col min="1" max="1" width="4.6640625" style="5" customWidth="1"/>
    <col min="2" max="2" width="2.6640625" style="5" customWidth="1"/>
    <col min="3" max="5" width="40.6640625" style="3" customWidth="1"/>
    <col min="6" max="6" width="2.6640625" style="3" customWidth="1"/>
    <col min="7" max="16384" width="9.109375" style="3"/>
  </cols>
  <sheetData>
    <row r="1" spans="1:13" s="4" customFormat="1" ht="28.8" x14ac:dyDescent="0.5">
      <c r="D1" s="28"/>
    </row>
    <row r="2" spans="1:13" ht="50.1" customHeight="1" x14ac:dyDescent="0.5">
      <c r="A2" s="4"/>
      <c r="B2" s="34"/>
      <c r="C2" s="93" t="s">
        <v>13</v>
      </c>
      <c r="D2" s="93"/>
      <c r="E2" s="93"/>
      <c r="F2" s="34"/>
      <c r="G2" s="4"/>
      <c r="H2" s="4"/>
      <c r="I2" s="4"/>
      <c r="J2" s="4"/>
      <c r="K2" s="4"/>
      <c r="L2" s="4"/>
      <c r="M2" s="4"/>
    </row>
    <row r="3" spans="1:13" ht="14.4" customHeight="1" x14ac:dyDescent="0.5">
      <c r="A3" s="4"/>
      <c r="B3" s="29"/>
      <c r="C3" s="30"/>
      <c r="D3" s="31"/>
      <c r="E3" s="29"/>
      <c r="F3" s="29"/>
      <c r="G3" s="4"/>
      <c r="H3" s="4"/>
      <c r="I3" s="4"/>
      <c r="J3" s="4"/>
      <c r="K3" s="4"/>
      <c r="L3" s="4"/>
      <c r="M3" s="4"/>
    </row>
    <row r="4" spans="1:13" s="5" customFormat="1" ht="67.2" customHeight="1" x14ac:dyDescent="0.5">
      <c r="A4" s="4"/>
      <c r="B4" s="29"/>
      <c r="C4" s="94" t="s">
        <v>14</v>
      </c>
      <c r="D4" s="94"/>
      <c r="E4" s="94"/>
      <c r="F4" s="29"/>
      <c r="G4" s="4"/>
      <c r="H4" s="4"/>
      <c r="I4" s="4"/>
      <c r="J4" s="4"/>
      <c r="K4" s="4"/>
      <c r="L4" s="4"/>
      <c r="M4" s="4"/>
    </row>
    <row r="5" spans="1:13" s="5" customFormat="1" ht="67.2" customHeight="1" x14ac:dyDescent="0.5">
      <c r="A5" s="4"/>
      <c r="B5" s="29"/>
      <c r="C5" s="94" t="s">
        <v>15</v>
      </c>
      <c r="D5" s="94"/>
      <c r="E5" s="94"/>
      <c r="F5" s="29"/>
      <c r="G5" s="4"/>
      <c r="H5" s="4"/>
      <c r="I5" s="4"/>
      <c r="J5" s="4"/>
      <c r="K5" s="4"/>
      <c r="L5" s="4"/>
      <c r="M5" s="4"/>
    </row>
    <row r="6" spans="1:13" ht="14.4" x14ac:dyDescent="0.3">
      <c r="A6" s="3"/>
      <c r="B6" s="32"/>
      <c r="C6" s="32"/>
      <c r="D6" s="33"/>
      <c r="E6" s="32"/>
      <c r="F6" s="32"/>
    </row>
    <row r="7" spans="1:13" ht="50.1" customHeight="1" x14ac:dyDescent="0.3">
      <c r="A7" s="3"/>
      <c r="B7" s="3"/>
    </row>
    <row r="8" spans="1:13" ht="14.4" customHeight="1" x14ac:dyDescent="0.3">
      <c r="A8" s="3"/>
      <c r="B8" s="3"/>
    </row>
    <row r="9" spans="1:13" ht="90" customHeight="1" x14ac:dyDescent="0.3">
      <c r="C9" s="5"/>
      <c r="D9" s="5"/>
      <c r="E9" s="5"/>
      <c r="F9" s="5"/>
      <c r="G9" s="5"/>
      <c r="H9" s="5"/>
    </row>
    <row r="10" spans="1:13" ht="14.4" customHeight="1" x14ac:dyDescent="0.3">
      <c r="A10" s="3"/>
      <c r="B10" s="3"/>
    </row>
    <row r="11" spans="1:13" x14ac:dyDescent="0.3">
      <c r="A11" s="3"/>
      <c r="B11" s="3"/>
      <c r="D11" s="5"/>
    </row>
    <row r="12" spans="1:13" x14ac:dyDescent="0.3">
      <c r="A12" s="3"/>
      <c r="B12" s="3"/>
      <c r="D12" s="5"/>
    </row>
    <row r="13" spans="1:13" x14ac:dyDescent="0.3">
      <c r="A13" s="3"/>
      <c r="B13" s="3"/>
      <c r="D13" s="5"/>
    </row>
    <row r="14" spans="1:13" x14ac:dyDescent="0.3">
      <c r="A14" s="3"/>
      <c r="B14" s="3"/>
      <c r="D14" s="5"/>
    </row>
    <row r="15" spans="1:13" x14ac:dyDescent="0.3">
      <c r="A15" s="3"/>
      <c r="B15" s="3"/>
      <c r="D15" s="5"/>
    </row>
    <row r="16" spans="1:13" x14ac:dyDescent="0.3">
      <c r="A16" s="3"/>
      <c r="B16" s="3"/>
      <c r="D16" s="5"/>
    </row>
    <row r="17" spans="1:4" x14ac:dyDescent="0.3">
      <c r="A17" s="3"/>
      <c r="B17" s="3"/>
      <c r="D17" s="5"/>
    </row>
    <row r="18" spans="1:4" x14ac:dyDescent="0.3">
      <c r="A18" s="3"/>
      <c r="B18" s="3"/>
      <c r="D18" s="5"/>
    </row>
    <row r="19" spans="1:4" x14ac:dyDescent="0.3">
      <c r="A19" s="3"/>
      <c r="B19" s="3"/>
      <c r="D19" s="5"/>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O46"/>
  <sheetViews>
    <sheetView showGridLines="0" tabSelected="1" showRuler="0" zoomScale="90" zoomScaleNormal="90" zoomScaleSheetLayoutView="110" zoomScalePageLayoutView="70" workbookViewId="0">
      <selection activeCell="C15" sqref="C15"/>
    </sheetView>
  </sheetViews>
  <sheetFormatPr defaultColWidth="8.88671875" defaultRowHeight="14.4" x14ac:dyDescent="0.3"/>
  <cols>
    <col min="1" max="1" width="36" style="1" customWidth="1"/>
    <col min="2" max="2" width="10" style="1" bestFit="1" customWidth="1"/>
    <col min="3" max="3" width="31" style="1" bestFit="1" customWidth="1"/>
    <col min="4" max="4" width="9.88671875" style="1" customWidth="1"/>
    <col min="5" max="5" width="6.109375" style="90" customWidth="1"/>
    <col min="6" max="6" width="7.33203125" style="1" bestFit="1" customWidth="1"/>
    <col min="7" max="7" width="2.6640625" style="1" customWidth="1"/>
    <col min="8" max="63" width="3.5546875" style="1" customWidth="1"/>
    <col min="64" max="64" width="2.6640625" style="1" customWidth="1"/>
    <col min="65" max="16384" width="8.88671875" style="1"/>
  </cols>
  <sheetData>
    <row r="1" spans="1:67" ht="25.8" x14ac:dyDescent="0.3">
      <c r="A1" s="47" t="s">
        <v>23</v>
      </c>
      <c r="B1" s="48"/>
      <c r="C1" s="14"/>
      <c r="D1" s="11"/>
      <c r="E1" s="79"/>
      <c r="F1" s="12" t="s">
        <v>6</v>
      </c>
      <c r="G1" s="11"/>
      <c r="H1" s="97" t="s">
        <v>9</v>
      </c>
      <c r="I1" s="97"/>
      <c r="J1" s="97"/>
      <c r="K1" s="97"/>
      <c r="M1" s="98" t="s">
        <v>10</v>
      </c>
      <c r="N1" s="98"/>
      <c r="O1" s="98"/>
      <c r="P1" s="98"/>
      <c r="R1" s="99" t="s">
        <v>11</v>
      </c>
      <c r="S1" s="99"/>
      <c r="T1" s="99"/>
      <c r="U1" s="99"/>
      <c r="W1" s="95" t="s">
        <v>12</v>
      </c>
      <c r="X1" s="95"/>
      <c r="Y1" s="95"/>
      <c r="Z1" s="95"/>
      <c r="AB1" s="96" t="s">
        <v>7</v>
      </c>
      <c r="AC1" s="96"/>
      <c r="AD1" s="96"/>
      <c r="AE1" s="96"/>
    </row>
    <row r="2" spans="1:67" ht="23.4" x14ac:dyDescent="0.3">
      <c r="A2" s="49" t="s">
        <v>22</v>
      </c>
      <c r="B2" s="14"/>
      <c r="C2" s="14"/>
      <c r="D2" s="11"/>
      <c r="E2" s="79"/>
      <c r="F2" s="11"/>
      <c r="G2" s="11"/>
    </row>
    <row r="3" spans="1:67" ht="18" x14ac:dyDescent="0.3">
      <c r="A3" s="50" t="s">
        <v>16</v>
      </c>
      <c r="B3" s="41">
        <v>46034</v>
      </c>
      <c r="C3" s="13"/>
      <c r="D3" s="11"/>
      <c r="E3" s="79"/>
      <c r="F3" s="11"/>
      <c r="G3" s="11"/>
      <c r="H3" s="42" t="str">
        <f ca="1">TEXT(H4,"mmmm")</f>
        <v>January</v>
      </c>
      <c r="I3" s="42"/>
      <c r="J3" s="42"/>
      <c r="K3" s="42"/>
      <c r="L3" s="42"/>
      <c r="M3" s="42"/>
      <c r="N3" s="42"/>
      <c r="O3" s="42" t="str">
        <f ca="1">IF(TEXT(O4,"mmmm")=H3,"",TEXT(O4,"mmmm"))</f>
        <v/>
      </c>
      <c r="P3" s="42"/>
      <c r="Q3" s="42"/>
      <c r="R3" s="42"/>
      <c r="S3" s="42"/>
      <c r="T3" s="42"/>
      <c r="U3" s="42"/>
      <c r="V3" s="42" t="str">
        <f ca="1">IF(OR(TEXT(V4,"mmmm")=O3,TEXT(V4,"mmmm")=H3),"",TEXT(V4,"mmmm"))</f>
        <v/>
      </c>
      <c r="W3" s="42"/>
      <c r="X3" s="42"/>
      <c r="Y3" s="42"/>
      <c r="Z3" s="42"/>
      <c r="AA3" s="42"/>
      <c r="AB3" s="42"/>
      <c r="AC3" s="42" t="str">
        <f ca="1">IF(OR(TEXT(AC4,"mmmm")=V3,TEXT(AC4,"mmmm")=O3,TEXT(AC4,"mmmm")=H3),"",TEXT(AC4,"mmmm"))</f>
        <v>February</v>
      </c>
      <c r="AD3" s="42"/>
      <c r="AE3" s="42"/>
      <c r="AF3" s="42"/>
      <c r="AG3" s="42"/>
      <c r="AH3" s="42"/>
      <c r="AI3" s="42"/>
      <c r="AJ3" s="42" t="str">
        <f ca="1">IF(OR(TEXT(AJ4,"mmmm")=AC3,TEXT(AJ4,"mmmm")=V3,TEXT(AJ4,"mmmm")=O3,TEXT(AJ4,"mmmm")=H3),"",TEXT(AJ4,"mmmm"))</f>
        <v/>
      </c>
      <c r="AK3" s="42"/>
      <c r="AL3" s="42"/>
      <c r="AM3" s="42"/>
      <c r="AN3" s="42"/>
      <c r="AO3" s="42"/>
      <c r="AP3" s="42"/>
      <c r="AQ3" s="42" t="str">
        <f ca="1">IF(OR(TEXT(AQ4,"mmmm")=AJ3,TEXT(AQ4,"mmmm")=AC3,TEXT(AQ4,"mmmm")=V3,TEXT(AQ4,"mmmm")=O3),"",TEXT(AQ4,"mmmm"))</f>
        <v/>
      </c>
      <c r="AR3" s="42"/>
      <c r="AS3" s="42"/>
      <c r="AT3" s="42"/>
      <c r="AU3" s="42"/>
      <c r="AV3" s="42"/>
      <c r="AW3" s="43"/>
      <c r="AX3" s="43" t="str">
        <f ca="1">IF(OR(TEXT(AX4,"mmmm")=AQ3,TEXT(AX4,"mmmm")=AJ3,TEXT(AX4,"mmmm")=AC3,TEXT(AX4,"mmmm")=V3),"",TEXT(AX4,"mmmm"))</f>
        <v/>
      </c>
      <c r="AY3" s="43"/>
      <c r="AZ3" s="43"/>
      <c r="BA3" s="43"/>
      <c r="BB3" s="51"/>
      <c r="BC3" s="51"/>
      <c r="BD3" s="51"/>
      <c r="BE3" s="51" t="str">
        <f ca="1">IF(OR(TEXT(BE4,"mmmm")=AX3,TEXT(BE4,"mmmm")=AQ3,TEXT(BE4,"mmmm")=AJ3,TEXT(BE4,"mmmm")=AC3),"",TEXT(BE4,"mmmm"))</f>
        <v>March</v>
      </c>
      <c r="BF3" s="51"/>
      <c r="BG3" s="51"/>
      <c r="BH3" s="51"/>
      <c r="BI3" s="51"/>
      <c r="BJ3" s="51"/>
      <c r="BK3" s="51"/>
    </row>
    <row r="4" spans="1:67" x14ac:dyDescent="0.3">
      <c r="A4" s="52" t="s">
        <v>17</v>
      </c>
      <c r="B4" s="14">
        <v>0</v>
      </c>
      <c r="C4" s="14"/>
      <c r="D4" s="11"/>
      <c r="E4" s="80"/>
      <c r="F4" s="11"/>
      <c r="G4" s="53"/>
      <c r="H4" s="19">
        <f ca="1">IFERROR(Project_Start+Scrolling_Increment,TODAY())</f>
        <v>46034</v>
      </c>
      <c r="I4" s="20">
        <f ca="1">H4+1</f>
        <v>46035</v>
      </c>
      <c r="J4" s="20">
        <f t="shared" ref="J4:AW4" ca="1" si="0">I4+1</f>
        <v>46036</v>
      </c>
      <c r="K4" s="20">
        <f t="shared" ca="1" si="0"/>
        <v>46037</v>
      </c>
      <c r="L4" s="20">
        <f t="shared" ca="1" si="0"/>
        <v>46038</v>
      </c>
      <c r="M4" s="20">
        <f t="shared" ca="1" si="0"/>
        <v>46039</v>
      </c>
      <c r="N4" s="21">
        <f t="shared" ca="1" si="0"/>
        <v>46040</v>
      </c>
      <c r="O4" s="20">
        <f ca="1">N4+1</f>
        <v>46041</v>
      </c>
      <c r="P4" s="20">
        <f ca="1">O4+1</f>
        <v>46042</v>
      </c>
      <c r="Q4" s="20">
        <f t="shared" ca="1" si="0"/>
        <v>46043</v>
      </c>
      <c r="R4" s="46">
        <f t="shared" ca="1" si="0"/>
        <v>46044</v>
      </c>
      <c r="S4" s="20">
        <f t="shared" ca="1" si="0"/>
        <v>46045</v>
      </c>
      <c r="T4" s="20">
        <f t="shared" ca="1" si="0"/>
        <v>46046</v>
      </c>
      <c r="U4" s="21">
        <f t="shared" ca="1" si="0"/>
        <v>46047</v>
      </c>
      <c r="V4" s="20">
        <f ca="1">U4+1</f>
        <v>46048</v>
      </c>
      <c r="W4" s="20">
        <f ca="1">V4+1</f>
        <v>46049</v>
      </c>
      <c r="X4" s="20">
        <f t="shared" ca="1" si="0"/>
        <v>46050</v>
      </c>
      <c r="Y4" s="46">
        <f t="shared" ca="1" si="0"/>
        <v>46051</v>
      </c>
      <c r="Z4" s="20">
        <f t="shared" ca="1" si="0"/>
        <v>46052</v>
      </c>
      <c r="AA4" s="20">
        <f t="shared" ca="1" si="0"/>
        <v>46053</v>
      </c>
      <c r="AB4" s="21">
        <f t="shared" ca="1" si="0"/>
        <v>46054</v>
      </c>
      <c r="AC4" s="20">
        <f ca="1">AB4+1</f>
        <v>46055</v>
      </c>
      <c r="AD4" s="20">
        <f ca="1">AC4+1</f>
        <v>46056</v>
      </c>
      <c r="AE4" s="20">
        <f t="shared" ca="1" si="0"/>
        <v>46057</v>
      </c>
      <c r="AF4" s="20">
        <f t="shared" ca="1" si="0"/>
        <v>46058</v>
      </c>
      <c r="AG4" s="20">
        <f t="shared" ca="1" si="0"/>
        <v>46059</v>
      </c>
      <c r="AH4" s="20">
        <f t="shared" ca="1" si="0"/>
        <v>46060</v>
      </c>
      <c r="AI4" s="21">
        <f t="shared" ca="1" si="0"/>
        <v>46061</v>
      </c>
      <c r="AJ4" s="20">
        <f ca="1">AI4+1</f>
        <v>46062</v>
      </c>
      <c r="AK4" s="20">
        <f ca="1">AJ4+1</f>
        <v>46063</v>
      </c>
      <c r="AL4" s="20">
        <f t="shared" ca="1" si="0"/>
        <v>46064</v>
      </c>
      <c r="AM4" s="46">
        <f t="shared" ca="1" si="0"/>
        <v>46065</v>
      </c>
      <c r="AN4" s="20">
        <f t="shared" ca="1" si="0"/>
        <v>46066</v>
      </c>
      <c r="AO4" s="20">
        <f t="shared" ca="1" si="0"/>
        <v>46067</v>
      </c>
      <c r="AP4" s="21">
        <f t="shared" ca="1" si="0"/>
        <v>46068</v>
      </c>
      <c r="AQ4" s="20">
        <f ca="1">AP4+1</f>
        <v>46069</v>
      </c>
      <c r="AR4" s="20">
        <f ca="1">AQ4+1</f>
        <v>46070</v>
      </c>
      <c r="AS4" s="20">
        <f t="shared" ca="1" si="0"/>
        <v>46071</v>
      </c>
      <c r="AT4" s="20">
        <f t="shared" ca="1" si="0"/>
        <v>46072</v>
      </c>
      <c r="AU4" s="20">
        <f t="shared" ca="1" si="0"/>
        <v>46073</v>
      </c>
      <c r="AV4" s="20">
        <f t="shared" ca="1" si="0"/>
        <v>46074</v>
      </c>
      <c r="AW4" s="21">
        <f t="shared" ca="1" si="0"/>
        <v>46075</v>
      </c>
      <c r="AX4" s="20">
        <f t="shared" ref="AX4:BK4" ca="1" si="1">AW4+1</f>
        <v>46076</v>
      </c>
      <c r="AY4" s="20">
        <f t="shared" ca="1" si="1"/>
        <v>46077</v>
      </c>
      <c r="AZ4" s="20">
        <f t="shared" ca="1" si="1"/>
        <v>46078</v>
      </c>
      <c r="BA4" s="46">
        <f t="shared" ca="1" si="1"/>
        <v>46079</v>
      </c>
      <c r="BB4" s="100">
        <f t="shared" ca="1" si="1"/>
        <v>46080</v>
      </c>
      <c r="BC4" s="20">
        <f t="shared" ca="1" si="1"/>
        <v>46081</v>
      </c>
      <c r="BD4" s="21">
        <f t="shared" ca="1" si="1"/>
        <v>46082</v>
      </c>
      <c r="BE4" s="102">
        <f t="shared" ca="1" si="1"/>
        <v>46083</v>
      </c>
      <c r="BF4" s="20">
        <f t="shared" ca="1" si="1"/>
        <v>46084</v>
      </c>
      <c r="BG4" s="20">
        <f t="shared" ca="1" si="1"/>
        <v>46085</v>
      </c>
      <c r="BH4" s="20">
        <f t="shared" ca="1" si="1"/>
        <v>46086</v>
      </c>
      <c r="BI4" s="20">
        <f t="shared" ca="1" si="1"/>
        <v>46087</v>
      </c>
      <c r="BJ4" s="20">
        <f t="shared" ca="1" si="1"/>
        <v>46088</v>
      </c>
      <c r="BK4" s="21">
        <f t="shared" ca="1" si="1"/>
        <v>46089</v>
      </c>
    </row>
    <row r="5" spans="1:67" x14ac:dyDescent="0.3">
      <c r="A5" s="14"/>
      <c r="B5" s="14"/>
      <c r="C5" s="14"/>
      <c r="D5" s="11"/>
      <c r="E5" s="80"/>
      <c r="F5" s="11"/>
      <c r="G5" s="53"/>
      <c r="H5" s="22"/>
      <c r="I5" s="23"/>
      <c r="J5" s="23"/>
      <c r="K5" s="23"/>
      <c r="L5" s="23"/>
      <c r="M5" s="23"/>
      <c r="N5" s="23"/>
      <c r="O5" s="24"/>
      <c r="P5" s="23"/>
      <c r="Q5" s="23"/>
      <c r="R5" s="23"/>
      <c r="S5" s="23"/>
      <c r="T5" s="23"/>
      <c r="U5" s="25"/>
      <c r="V5" s="23"/>
      <c r="W5" s="23"/>
      <c r="X5" s="23"/>
      <c r="Y5" s="23"/>
      <c r="Z5" s="23"/>
      <c r="AA5" s="23"/>
      <c r="AB5" s="25"/>
      <c r="AC5" s="23"/>
      <c r="AD5" s="23"/>
      <c r="AE5" s="23"/>
      <c r="AF5" s="23"/>
      <c r="AG5" s="23"/>
      <c r="AH5" s="23"/>
      <c r="AI5" s="25"/>
      <c r="AJ5" s="23"/>
      <c r="AK5" s="23"/>
      <c r="AL5" s="23"/>
      <c r="AM5" s="23"/>
      <c r="AN5" s="23"/>
      <c r="AO5" s="23"/>
      <c r="AP5" s="25"/>
      <c r="AQ5" s="23"/>
      <c r="AR5" s="23"/>
      <c r="AS5" s="23"/>
      <c r="AT5" s="23"/>
      <c r="AU5" s="23"/>
      <c r="AV5" s="23"/>
      <c r="AW5" s="25"/>
      <c r="AX5" s="23"/>
      <c r="AY5" s="23"/>
      <c r="AZ5" s="23"/>
      <c r="BA5" s="23"/>
      <c r="BB5" s="23"/>
      <c r="BC5" s="23"/>
      <c r="BD5" s="25"/>
      <c r="BE5" s="23"/>
      <c r="BF5" s="23"/>
      <c r="BG5" s="23"/>
      <c r="BH5" s="23"/>
      <c r="BI5" s="23"/>
      <c r="BJ5" s="23"/>
      <c r="BK5" s="26"/>
    </row>
    <row r="6" spans="1:67" ht="28.8" x14ac:dyDescent="0.3">
      <c r="A6" s="54" t="s">
        <v>18</v>
      </c>
      <c r="B6" s="35" t="s">
        <v>0</v>
      </c>
      <c r="C6" s="35" t="s">
        <v>27</v>
      </c>
      <c r="D6" s="71" t="s">
        <v>2</v>
      </c>
      <c r="E6" s="81" t="s">
        <v>55</v>
      </c>
      <c r="F6" s="35" t="s">
        <v>54</v>
      </c>
      <c r="G6" s="17"/>
      <c r="H6" s="27" t="str">
        <f t="shared" ref="H6:BK6" ca="1" si="2">LEFT(TEXT(H4,"ddd"),1)</f>
        <v>M</v>
      </c>
      <c r="I6" s="27" t="str">
        <f t="shared" ca="1" si="2"/>
        <v>T</v>
      </c>
      <c r="J6" s="27" t="str">
        <f t="shared" ca="1" si="2"/>
        <v>W</v>
      </c>
      <c r="K6" s="27" t="str">
        <f t="shared" ca="1" si="2"/>
        <v>T</v>
      </c>
      <c r="L6" s="27" t="str">
        <f t="shared" ca="1" si="2"/>
        <v>F</v>
      </c>
      <c r="M6" s="27" t="str">
        <f t="shared" ca="1" si="2"/>
        <v>S</v>
      </c>
      <c r="N6" s="27" t="str">
        <f t="shared" ca="1" si="2"/>
        <v>S</v>
      </c>
      <c r="O6" s="27" t="str">
        <f t="shared" ca="1" si="2"/>
        <v>M</v>
      </c>
      <c r="P6" s="27" t="str">
        <f t="shared" ca="1" si="2"/>
        <v>T</v>
      </c>
      <c r="Q6" s="27" t="str">
        <f t="shared" ca="1" si="2"/>
        <v>W</v>
      </c>
      <c r="R6" s="27" t="str">
        <f t="shared" ca="1" si="2"/>
        <v>T</v>
      </c>
      <c r="S6" s="27" t="str">
        <f t="shared" ca="1" si="2"/>
        <v>F</v>
      </c>
      <c r="T6" s="27" t="str">
        <f t="shared" ca="1" si="2"/>
        <v>S</v>
      </c>
      <c r="U6" s="27" t="str">
        <f t="shared" ca="1" si="2"/>
        <v>S</v>
      </c>
      <c r="V6" s="27" t="str">
        <f t="shared" ca="1" si="2"/>
        <v>M</v>
      </c>
      <c r="W6" s="27" t="str">
        <f t="shared" ca="1" si="2"/>
        <v>T</v>
      </c>
      <c r="X6" s="27" t="str">
        <f t="shared" ca="1" si="2"/>
        <v>W</v>
      </c>
      <c r="Y6" s="27" t="str">
        <f t="shared" ca="1" si="2"/>
        <v>T</v>
      </c>
      <c r="Z6" s="27" t="str">
        <f t="shared" ca="1" si="2"/>
        <v>F</v>
      </c>
      <c r="AA6" s="27" t="str">
        <f t="shared" ca="1" si="2"/>
        <v>S</v>
      </c>
      <c r="AB6" s="27" t="str">
        <f t="shared" ca="1" si="2"/>
        <v>S</v>
      </c>
      <c r="AC6" s="27" t="str">
        <f t="shared" ca="1" si="2"/>
        <v>M</v>
      </c>
      <c r="AD6" s="27" t="str">
        <f t="shared" ca="1" si="2"/>
        <v>T</v>
      </c>
      <c r="AE6" s="27" t="str">
        <f t="shared" ca="1" si="2"/>
        <v>W</v>
      </c>
      <c r="AF6" s="27" t="str">
        <f t="shared" ca="1" si="2"/>
        <v>T</v>
      </c>
      <c r="AG6" s="27" t="str">
        <f t="shared" ca="1" si="2"/>
        <v>F</v>
      </c>
      <c r="AH6" s="27" t="str">
        <f t="shared" ca="1" si="2"/>
        <v>S</v>
      </c>
      <c r="AI6" s="27" t="str">
        <f t="shared" ca="1" si="2"/>
        <v>S</v>
      </c>
      <c r="AJ6" s="27" t="str">
        <f t="shared" ca="1" si="2"/>
        <v>M</v>
      </c>
      <c r="AK6" s="27" t="str">
        <f t="shared" ca="1" si="2"/>
        <v>T</v>
      </c>
      <c r="AL6" s="27" t="str">
        <f t="shared" ca="1" si="2"/>
        <v>W</v>
      </c>
      <c r="AM6" s="27" t="str">
        <f t="shared" ca="1" si="2"/>
        <v>T</v>
      </c>
      <c r="AN6" s="27" t="str">
        <f t="shared" ca="1" si="2"/>
        <v>F</v>
      </c>
      <c r="AO6" s="27" t="str">
        <f t="shared" ca="1" si="2"/>
        <v>S</v>
      </c>
      <c r="AP6" s="27" t="str">
        <f t="shared" ca="1" si="2"/>
        <v>S</v>
      </c>
      <c r="AQ6" s="27" t="str">
        <f t="shared" ca="1" si="2"/>
        <v>M</v>
      </c>
      <c r="AR6" s="27" t="str">
        <f t="shared" ca="1" si="2"/>
        <v>T</v>
      </c>
      <c r="AS6" s="27" t="str">
        <f t="shared" ca="1" si="2"/>
        <v>W</v>
      </c>
      <c r="AT6" s="27" t="str">
        <f t="shared" ca="1" si="2"/>
        <v>T</v>
      </c>
      <c r="AU6" s="27" t="str">
        <f t="shared" ca="1" si="2"/>
        <v>F</v>
      </c>
      <c r="AV6" s="27" t="str">
        <f t="shared" ca="1" si="2"/>
        <v>S</v>
      </c>
      <c r="AW6" s="27" t="str">
        <f t="shared" ca="1" si="2"/>
        <v>S</v>
      </c>
      <c r="AX6" s="27" t="str">
        <f t="shared" ca="1" si="2"/>
        <v>M</v>
      </c>
      <c r="AY6" s="27" t="str">
        <f t="shared" ca="1" si="2"/>
        <v>T</v>
      </c>
      <c r="AZ6" s="27" t="str">
        <f t="shared" ca="1" si="2"/>
        <v>W</v>
      </c>
      <c r="BA6" s="27" t="str">
        <f t="shared" ca="1" si="2"/>
        <v>T</v>
      </c>
      <c r="BB6" s="27" t="str">
        <f t="shared" ca="1" si="2"/>
        <v>F</v>
      </c>
      <c r="BC6" s="27" t="str">
        <f t="shared" ca="1" si="2"/>
        <v>S</v>
      </c>
      <c r="BD6" s="27" t="str">
        <f t="shared" ca="1" si="2"/>
        <v>S</v>
      </c>
      <c r="BE6" s="27" t="str">
        <f t="shared" ca="1" si="2"/>
        <v>M</v>
      </c>
      <c r="BF6" s="27" t="str">
        <f t="shared" ca="1" si="2"/>
        <v>T</v>
      </c>
      <c r="BG6" s="27" t="str">
        <f t="shared" ca="1" si="2"/>
        <v>W</v>
      </c>
      <c r="BH6" s="27" t="str">
        <f t="shared" ca="1" si="2"/>
        <v>T</v>
      </c>
      <c r="BI6" s="27" t="str">
        <f t="shared" ca="1" si="2"/>
        <v>F</v>
      </c>
      <c r="BJ6" s="27" t="str">
        <f t="shared" ca="1" si="2"/>
        <v>S</v>
      </c>
      <c r="BK6" s="27" t="str">
        <f t="shared" ca="1" si="2"/>
        <v>S</v>
      </c>
    </row>
    <row r="7" spans="1:67" x14ac:dyDescent="0.3">
      <c r="A7" s="55" t="s">
        <v>42</v>
      </c>
      <c r="B7" s="37"/>
      <c r="C7" s="37"/>
      <c r="D7" s="72"/>
      <c r="E7" s="82"/>
      <c r="F7" s="56"/>
      <c r="G7" s="9"/>
      <c r="H7" s="7" t="str">
        <f t="shared" ref="H7:W20" ca="1" si="3">IF(AND($B7="Goal",H$4&gt;=$E7,H$4&lt;=$E7+$F7-1),2,IF(AND($B7="Milestone",H$4&gt;=$E7,H$4&lt;=$E7+$F7-1),1,""))</f>
        <v/>
      </c>
      <c r="I7" s="7" t="str">
        <f t="shared" ca="1" si="3"/>
        <v/>
      </c>
      <c r="J7" s="7" t="str">
        <f t="shared" ca="1" si="3"/>
        <v/>
      </c>
      <c r="K7" s="7" t="str">
        <f t="shared" ca="1" si="3"/>
        <v/>
      </c>
      <c r="L7" s="7" t="str">
        <f t="shared" ca="1" si="3"/>
        <v/>
      </c>
      <c r="M7" s="7" t="str">
        <f t="shared" ca="1" si="3"/>
        <v/>
      </c>
      <c r="N7" s="7" t="str">
        <f t="shared" ca="1" si="3"/>
        <v/>
      </c>
      <c r="O7" s="7" t="str">
        <f t="shared" ca="1" si="3"/>
        <v/>
      </c>
      <c r="P7" s="7" t="str">
        <f t="shared" ca="1" si="3"/>
        <v/>
      </c>
      <c r="Q7" s="7" t="str">
        <f t="shared" ca="1" si="3"/>
        <v/>
      </c>
      <c r="R7" s="45" t="str">
        <f t="shared" ca="1" si="3"/>
        <v/>
      </c>
      <c r="S7" s="7" t="str">
        <f t="shared" ca="1" si="3"/>
        <v/>
      </c>
      <c r="T7" s="104" t="str">
        <f t="shared" ca="1" si="3"/>
        <v/>
      </c>
      <c r="U7" s="104" t="str">
        <f t="shared" ca="1" si="3"/>
        <v/>
      </c>
      <c r="V7" s="7" t="str">
        <f t="shared" ca="1" si="3"/>
        <v/>
      </c>
      <c r="W7" s="7" t="str">
        <f t="shared" ca="1" si="3"/>
        <v/>
      </c>
      <c r="X7" s="7" t="str">
        <f t="shared" ref="X7:AM20" ca="1" si="4">IF(AND($B7="Goal",X$4&gt;=$E7,X$4&lt;=$E7+$F7-1),2,IF(AND($B7="Milestone",X$4&gt;=$E7,X$4&lt;=$E7+$F7-1),1,""))</f>
        <v/>
      </c>
      <c r="Y7" s="7" t="str">
        <f t="shared" ca="1" si="4"/>
        <v/>
      </c>
      <c r="Z7" s="7" t="str">
        <f t="shared" ca="1" si="4"/>
        <v/>
      </c>
      <c r="AA7" s="104" t="str">
        <f t="shared" ca="1" si="4"/>
        <v/>
      </c>
      <c r="AB7" s="104" t="str">
        <f t="shared" ca="1" si="4"/>
        <v/>
      </c>
      <c r="AC7" s="7" t="str">
        <f t="shared" ca="1" si="4"/>
        <v/>
      </c>
      <c r="AD7" s="7" t="str">
        <f t="shared" ca="1" si="4"/>
        <v/>
      </c>
      <c r="AE7" s="7" t="str">
        <f t="shared" ca="1" si="4"/>
        <v/>
      </c>
      <c r="AF7" s="7" t="str">
        <f t="shared" ca="1" si="4"/>
        <v/>
      </c>
      <c r="AG7" s="7" t="str">
        <f t="shared" ca="1" si="4"/>
        <v/>
      </c>
      <c r="AH7" s="104" t="str">
        <f t="shared" ca="1" si="4"/>
        <v/>
      </c>
      <c r="AI7" s="104" t="str">
        <f t="shared" ca="1" si="4"/>
        <v/>
      </c>
      <c r="AJ7" s="7" t="str">
        <f t="shared" ca="1" si="4"/>
        <v/>
      </c>
      <c r="AK7" s="7" t="str">
        <f t="shared" ca="1" si="4"/>
        <v/>
      </c>
      <c r="AL7" s="7" t="str">
        <f t="shared" ca="1" si="4"/>
        <v/>
      </c>
      <c r="AM7" s="7" t="str">
        <f t="shared" ca="1" si="4"/>
        <v/>
      </c>
      <c r="AN7" s="7" t="str">
        <f t="shared" ref="AN7:BC20" ca="1" si="5">IF(AND($B7="Goal",AN$4&gt;=$E7,AN$4&lt;=$E7+$F7-1),2,IF(AND($B7="Milestone",AN$4&gt;=$E7,AN$4&lt;=$E7+$F7-1),1,""))</f>
        <v/>
      </c>
      <c r="AO7" s="104" t="str">
        <f t="shared" ca="1" si="5"/>
        <v/>
      </c>
      <c r="AP7" s="104" t="str">
        <f t="shared" ca="1" si="5"/>
        <v/>
      </c>
      <c r="AQ7" s="7" t="str">
        <f t="shared" ca="1" si="5"/>
        <v/>
      </c>
      <c r="AR7" s="7" t="str">
        <f t="shared" ca="1" si="5"/>
        <v/>
      </c>
      <c r="AS7" s="7" t="str">
        <f t="shared" ca="1" si="5"/>
        <v/>
      </c>
      <c r="AT7" s="7" t="str">
        <f t="shared" ca="1" si="5"/>
        <v/>
      </c>
      <c r="AU7" s="7" t="str">
        <f t="shared" ca="1" si="5"/>
        <v/>
      </c>
      <c r="AV7" s="104" t="str">
        <f t="shared" ca="1" si="5"/>
        <v/>
      </c>
      <c r="AW7" s="104" t="str">
        <f t="shared" ca="1" si="5"/>
        <v/>
      </c>
      <c r="AX7" s="7" t="str">
        <f t="shared" ca="1" si="5"/>
        <v/>
      </c>
      <c r="AY7" s="7" t="str">
        <f t="shared" ca="1" si="5"/>
        <v/>
      </c>
      <c r="AZ7" s="7" t="str">
        <f t="shared" ca="1" si="5"/>
        <v/>
      </c>
      <c r="BA7" s="45" t="str">
        <f t="shared" ca="1" si="5"/>
        <v/>
      </c>
      <c r="BB7" s="101" t="str">
        <f t="shared" ca="1" si="5"/>
        <v/>
      </c>
      <c r="BC7" s="105" t="str">
        <f t="shared" ca="1" si="5"/>
        <v/>
      </c>
      <c r="BD7" s="105" t="str">
        <f t="shared" ref="BD7:BK20" ca="1" si="6">IF(AND($B7="Goal",BD$4&gt;=$E7,BD$4&lt;=$E7+$F7-1),2,IF(AND($B7="Milestone",BD$4&gt;=$E7,BD$4&lt;=$E7+$F7-1),1,""))</f>
        <v/>
      </c>
      <c r="BE7" s="103" t="str">
        <f t="shared" ca="1" si="6"/>
        <v/>
      </c>
      <c r="BF7" s="7" t="str">
        <f t="shared" ca="1" si="6"/>
        <v/>
      </c>
      <c r="BG7" s="7" t="str">
        <f t="shared" ca="1" si="6"/>
        <v/>
      </c>
      <c r="BH7" s="7" t="str">
        <f t="shared" ca="1" si="6"/>
        <v/>
      </c>
      <c r="BI7" s="7" t="str">
        <f t="shared" ca="1" si="6"/>
        <v/>
      </c>
      <c r="BJ7" s="7" t="str">
        <f t="shared" ca="1" si="6"/>
        <v/>
      </c>
      <c r="BK7" s="7" t="str">
        <f t="shared" ca="1" si="6"/>
        <v/>
      </c>
      <c r="BO7" s="8"/>
    </row>
    <row r="8" spans="1:67" x14ac:dyDescent="0.3">
      <c r="A8" s="57" t="s">
        <v>53</v>
      </c>
      <c r="B8" s="9" t="s">
        <v>5</v>
      </c>
      <c r="C8" s="9" t="s">
        <v>52</v>
      </c>
      <c r="D8" s="73">
        <v>1</v>
      </c>
      <c r="E8" s="83">
        <v>46034</v>
      </c>
      <c r="F8" s="10">
        <v>3</v>
      </c>
      <c r="G8" s="9"/>
      <c r="H8" s="7" t="str">
        <f t="shared" ref="H8:H26" ca="1" si="7">IF(AND($B8="Goal",H$4&gt;=$E8,H$4&lt;=$E8+$F8-1),2,IF(AND($B8="Milestone",H$4&gt;=$E8,H$4&lt;=$E8+$F8-1),1,""))</f>
        <v/>
      </c>
      <c r="I8" s="7" t="str">
        <f t="shared" ca="1" si="3"/>
        <v/>
      </c>
      <c r="J8" s="7" t="str">
        <f t="shared" ca="1" si="3"/>
        <v/>
      </c>
      <c r="K8" s="7" t="str">
        <f t="shared" ca="1" si="3"/>
        <v/>
      </c>
      <c r="L8" s="7" t="str">
        <f t="shared" ca="1" si="3"/>
        <v/>
      </c>
      <c r="M8" s="7" t="str">
        <f t="shared" ca="1" si="3"/>
        <v/>
      </c>
      <c r="N8" s="7" t="str">
        <f t="shared" ca="1" si="3"/>
        <v/>
      </c>
      <c r="O8" s="7" t="str">
        <f t="shared" ca="1" si="3"/>
        <v/>
      </c>
      <c r="P8" s="7" t="str">
        <f t="shared" ca="1" si="3"/>
        <v/>
      </c>
      <c r="Q8" s="7" t="str">
        <f t="shared" ca="1" si="3"/>
        <v/>
      </c>
      <c r="R8" s="45" t="str">
        <f t="shared" ca="1" si="3"/>
        <v/>
      </c>
      <c r="S8" s="7" t="str">
        <f t="shared" ca="1" si="3"/>
        <v/>
      </c>
      <c r="T8" s="104" t="str">
        <f t="shared" ca="1" si="3"/>
        <v/>
      </c>
      <c r="U8" s="104" t="str">
        <f t="shared" ca="1" si="3"/>
        <v/>
      </c>
      <c r="V8" s="7" t="str">
        <f t="shared" ca="1" si="3"/>
        <v/>
      </c>
      <c r="W8" s="7" t="str">
        <f t="shared" ca="1" si="3"/>
        <v/>
      </c>
      <c r="X8" s="7" t="str">
        <f t="shared" ca="1" si="4"/>
        <v/>
      </c>
      <c r="Y8" s="7" t="str">
        <f t="shared" ca="1" si="4"/>
        <v/>
      </c>
      <c r="Z8" s="7" t="str">
        <f t="shared" ca="1" si="4"/>
        <v/>
      </c>
      <c r="AA8" s="104" t="str">
        <f t="shared" ca="1" si="4"/>
        <v/>
      </c>
      <c r="AB8" s="104" t="str">
        <f t="shared" ca="1" si="4"/>
        <v/>
      </c>
      <c r="AC8" s="7" t="str">
        <f t="shared" ca="1" si="4"/>
        <v/>
      </c>
      <c r="AD8" s="7" t="str">
        <f t="shared" ca="1" si="4"/>
        <v/>
      </c>
      <c r="AE8" s="7" t="str">
        <f t="shared" ca="1" si="4"/>
        <v/>
      </c>
      <c r="AF8" s="7" t="str">
        <f t="shared" ca="1" si="4"/>
        <v/>
      </c>
      <c r="AG8" s="7" t="str">
        <f t="shared" ca="1" si="4"/>
        <v/>
      </c>
      <c r="AH8" s="104" t="str">
        <f t="shared" ca="1" si="4"/>
        <v/>
      </c>
      <c r="AI8" s="104" t="str">
        <f t="shared" ca="1" si="4"/>
        <v/>
      </c>
      <c r="AJ8" s="7" t="str">
        <f t="shared" ca="1" si="4"/>
        <v/>
      </c>
      <c r="AK8" s="7" t="str">
        <f t="shared" ca="1" si="4"/>
        <v/>
      </c>
      <c r="AL8" s="7" t="str">
        <f t="shared" ca="1" si="4"/>
        <v/>
      </c>
      <c r="AM8" s="7" t="str">
        <f t="shared" ca="1" si="4"/>
        <v/>
      </c>
      <c r="AN8" s="7" t="str">
        <f t="shared" ca="1" si="5"/>
        <v/>
      </c>
      <c r="AO8" s="104" t="str">
        <f t="shared" ca="1" si="5"/>
        <v/>
      </c>
      <c r="AP8" s="104" t="str">
        <f t="shared" ca="1" si="5"/>
        <v/>
      </c>
      <c r="AQ8" s="7" t="str">
        <f t="shared" ca="1" si="5"/>
        <v/>
      </c>
      <c r="AR8" s="7" t="str">
        <f t="shared" ca="1" si="5"/>
        <v/>
      </c>
      <c r="AS8" s="7" t="str">
        <f t="shared" ca="1" si="5"/>
        <v/>
      </c>
      <c r="AT8" s="7" t="str">
        <f t="shared" ca="1" si="5"/>
        <v/>
      </c>
      <c r="AU8" s="7" t="str">
        <f t="shared" ca="1" si="5"/>
        <v/>
      </c>
      <c r="AV8" s="104" t="str">
        <f t="shared" ca="1" si="5"/>
        <v/>
      </c>
      <c r="AW8" s="104" t="str">
        <f t="shared" ca="1" si="5"/>
        <v/>
      </c>
      <c r="AX8" s="7" t="str">
        <f t="shared" ca="1" si="5"/>
        <v/>
      </c>
      <c r="AY8" s="7" t="str">
        <f t="shared" ca="1" si="5"/>
        <v/>
      </c>
      <c r="AZ8" s="7" t="str">
        <f t="shared" ca="1" si="5"/>
        <v/>
      </c>
      <c r="BA8" s="45" t="str">
        <f t="shared" ca="1" si="5"/>
        <v/>
      </c>
      <c r="BB8" s="101" t="str">
        <f t="shared" ca="1" si="5"/>
        <v/>
      </c>
      <c r="BC8" s="105" t="str">
        <f t="shared" ca="1" si="5"/>
        <v/>
      </c>
      <c r="BD8" s="105" t="str">
        <f t="shared" ca="1" si="6"/>
        <v/>
      </c>
      <c r="BE8" s="103" t="str">
        <f t="shared" ca="1" si="6"/>
        <v/>
      </c>
      <c r="BF8" s="7" t="str">
        <f t="shared" ca="1" si="6"/>
        <v/>
      </c>
      <c r="BG8" s="7" t="str">
        <f t="shared" ca="1" si="6"/>
        <v/>
      </c>
      <c r="BH8" s="7" t="str">
        <f t="shared" ca="1" si="6"/>
        <v/>
      </c>
      <c r="BI8" s="7" t="str">
        <f t="shared" ca="1" si="6"/>
        <v/>
      </c>
      <c r="BJ8" s="7" t="str">
        <f t="shared" ca="1" si="6"/>
        <v/>
      </c>
      <c r="BK8" s="7" t="str">
        <f t="shared" ca="1" si="6"/>
        <v/>
      </c>
    </row>
    <row r="9" spans="1:67" x14ac:dyDescent="0.3">
      <c r="A9" s="57" t="s">
        <v>19</v>
      </c>
      <c r="B9" s="9" t="s">
        <v>5</v>
      </c>
      <c r="C9" s="9" t="s">
        <v>56</v>
      </c>
      <c r="D9" s="73">
        <v>1</v>
      </c>
      <c r="E9" s="83">
        <v>46035</v>
      </c>
      <c r="F9" s="10">
        <v>2</v>
      </c>
      <c r="G9" s="9"/>
      <c r="H9" s="7" t="str">
        <f t="shared" ca="1" si="7"/>
        <v/>
      </c>
      <c r="I9" s="7" t="str">
        <f t="shared" ca="1" si="3"/>
        <v/>
      </c>
      <c r="J9" s="7" t="str">
        <f t="shared" ca="1" si="3"/>
        <v/>
      </c>
      <c r="K9" s="7" t="str">
        <f t="shared" ca="1" si="3"/>
        <v/>
      </c>
      <c r="L9" s="7" t="str">
        <f t="shared" ca="1" si="3"/>
        <v/>
      </c>
      <c r="M9" s="7" t="str">
        <f t="shared" ca="1" si="3"/>
        <v/>
      </c>
      <c r="N9" s="7" t="str">
        <f t="shared" ca="1" si="3"/>
        <v/>
      </c>
      <c r="O9" s="7" t="str">
        <f t="shared" ca="1" si="3"/>
        <v/>
      </c>
      <c r="P9" s="7" t="str">
        <f t="shared" ca="1" si="3"/>
        <v/>
      </c>
      <c r="Q9" s="7" t="str">
        <f t="shared" ca="1" si="3"/>
        <v/>
      </c>
      <c r="R9" s="45" t="str">
        <f t="shared" ca="1" si="3"/>
        <v/>
      </c>
      <c r="S9" s="7" t="str">
        <f t="shared" ca="1" si="3"/>
        <v/>
      </c>
      <c r="T9" s="104" t="str">
        <f t="shared" ca="1" si="3"/>
        <v/>
      </c>
      <c r="U9" s="104" t="str">
        <f t="shared" ca="1" si="3"/>
        <v/>
      </c>
      <c r="V9" s="7" t="str">
        <f t="shared" ca="1" si="3"/>
        <v/>
      </c>
      <c r="W9" s="7" t="str">
        <f t="shared" ca="1" si="3"/>
        <v/>
      </c>
      <c r="X9" s="7" t="str">
        <f t="shared" ca="1" si="4"/>
        <v/>
      </c>
      <c r="Y9" s="7" t="str">
        <f t="shared" ca="1" si="4"/>
        <v/>
      </c>
      <c r="Z9" s="7" t="str">
        <f t="shared" ca="1" si="4"/>
        <v/>
      </c>
      <c r="AA9" s="104" t="str">
        <f t="shared" ca="1" si="4"/>
        <v/>
      </c>
      <c r="AB9" s="104" t="str">
        <f t="shared" ca="1" si="4"/>
        <v/>
      </c>
      <c r="AC9" s="7" t="str">
        <f t="shared" ca="1" si="4"/>
        <v/>
      </c>
      <c r="AD9" s="7" t="str">
        <f t="shared" ca="1" si="4"/>
        <v/>
      </c>
      <c r="AE9" s="7" t="str">
        <f t="shared" ca="1" si="4"/>
        <v/>
      </c>
      <c r="AF9" s="7" t="str">
        <f t="shared" ca="1" si="4"/>
        <v/>
      </c>
      <c r="AG9" s="7" t="str">
        <f t="shared" ca="1" si="4"/>
        <v/>
      </c>
      <c r="AH9" s="104" t="str">
        <f t="shared" ca="1" si="4"/>
        <v/>
      </c>
      <c r="AI9" s="104" t="str">
        <f t="shared" ca="1" si="4"/>
        <v/>
      </c>
      <c r="AJ9" s="7" t="str">
        <f t="shared" ca="1" si="4"/>
        <v/>
      </c>
      <c r="AK9" s="7" t="str">
        <f t="shared" ca="1" si="4"/>
        <v/>
      </c>
      <c r="AL9" s="7" t="str">
        <f t="shared" ca="1" si="4"/>
        <v/>
      </c>
      <c r="AM9" s="7" t="str">
        <f t="shared" ca="1" si="4"/>
        <v/>
      </c>
      <c r="AN9" s="7" t="str">
        <f t="shared" ca="1" si="5"/>
        <v/>
      </c>
      <c r="AO9" s="104" t="str">
        <f t="shared" ca="1" si="5"/>
        <v/>
      </c>
      <c r="AP9" s="104" t="str">
        <f t="shared" ca="1" si="5"/>
        <v/>
      </c>
      <c r="AQ9" s="7" t="str">
        <f t="shared" ca="1" si="5"/>
        <v/>
      </c>
      <c r="AR9" s="7" t="str">
        <f t="shared" ca="1" si="5"/>
        <v/>
      </c>
      <c r="AS9" s="7" t="str">
        <f t="shared" ca="1" si="5"/>
        <v/>
      </c>
      <c r="AT9" s="7" t="str">
        <f t="shared" ca="1" si="5"/>
        <v/>
      </c>
      <c r="AU9" s="7" t="str">
        <f t="shared" ca="1" si="5"/>
        <v/>
      </c>
      <c r="AV9" s="104" t="str">
        <f t="shared" ca="1" si="5"/>
        <v/>
      </c>
      <c r="AW9" s="104" t="str">
        <f t="shared" ca="1" si="5"/>
        <v/>
      </c>
      <c r="AX9" s="7" t="str">
        <f t="shared" ca="1" si="5"/>
        <v/>
      </c>
      <c r="AY9" s="7" t="str">
        <f t="shared" ca="1" si="5"/>
        <v/>
      </c>
      <c r="AZ9" s="7" t="str">
        <f t="shared" ca="1" si="5"/>
        <v/>
      </c>
      <c r="BA9" s="45" t="str">
        <f t="shared" ca="1" si="5"/>
        <v/>
      </c>
      <c r="BB9" s="101" t="str">
        <f t="shared" ca="1" si="5"/>
        <v/>
      </c>
      <c r="BC9" s="105" t="str">
        <f t="shared" ca="1" si="5"/>
        <v/>
      </c>
      <c r="BD9" s="105" t="str">
        <f t="shared" ca="1" si="6"/>
        <v/>
      </c>
      <c r="BE9" s="103" t="str">
        <f t="shared" ca="1" si="6"/>
        <v/>
      </c>
      <c r="BF9" s="7" t="str">
        <f t="shared" ca="1" si="6"/>
        <v/>
      </c>
      <c r="BG9" s="7" t="str">
        <f t="shared" ca="1" si="6"/>
        <v/>
      </c>
      <c r="BH9" s="7" t="str">
        <f t="shared" ca="1" si="6"/>
        <v/>
      </c>
      <c r="BI9" s="7" t="str">
        <f t="shared" ca="1" si="6"/>
        <v/>
      </c>
      <c r="BJ9" s="7" t="str">
        <f t="shared" ca="1" si="6"/>
        <v/>
      </c>
      <c r="BK9" s="7" t="str">
        <f t="shared" ca="1" si="6"/>
        <v/>
      </c>
    </row>
    <row r="10" spans="1:67" x14ac:dyDescent="0.3">
      <c r="A10" s="57" t="s">
        <v>20</v>
      </c>
      <c r="B10" s="9" t="s">
        <v>5</v>
      </c>
      <c r="C10" s="9" t="s">
        <v>57</v>
      </c>
      <c r="D10" s="73">
        <v>1</v>
      </c>
      <c r="E10" s="83">
        <v>46036</v>
      </c>
      <c r="F10" s="10">
        <v>3</v>
      </c>
      <c r="G10" s="9"/>
      <c r="H10" s="7" t="str">
        <f t="shared" ca="1" si="7"/>
        <v/>
      </c>
      <c r="I10" s="7" t="str">
        <f t="shared" ca="1" si="3"/>
        <v/>
      </c>
      <c r="J10" s="7" t="str">
        <f t="shared" ca="1" si="3"/>
        <v/>
      </c>
      <c r="K10" s="45" t="str">
        <f t="shared" ca="1" si="3"/>
        <v/>
      </c>
      <c r="L10" s="7" t="str">
        <f t="shared" ca="1" si="3"/>
        <v/>
      </c>
      <c r="M10" s="7" t="str">
        <f t="shared" ca="1" si="3"/>
        <v/>
      </c>
      <c r="N10" s="7" t="str">
        <f t="shared" ca="1" si="3"/>
        <v/>
      </c>
      <c r="O10" s="7" t="str">
        <f t="shared" ca="1" si="3"/>
        <v/>
      </c>
      <c r="P10" s="7" t="str">
        <f t="shared" ca="1" si="3"/>
        <v/>
      </c>
      <c r="Q10" s="7" t="str">
        <f t="shared" ca="1" si="3"/>
        <v/>
      </c>
      <c r="R10" s="45" t="str">
        <f t="shared" ca="1" si="3"/>
        <v/>
      </c>
      <c r="S10" s="7" t="str">
        <f t="shared" ca="1" si="3"/>
        <v/>
      </c>
      <c r="T10" s="104" t="str">
        <f t="shared" ca="1" si="3"/>
        <v/>
      </c>
      <c r="U10" s="104" t="str">
        <f t="shared" ca="1" si="3"/>
        <v/>
      </c>
      <c r="V10" s="7" t="str">
        <f t="shared" ca="1" si="3"/>
        <v/>
      </c>
      <c r="W10" s="7" t="str">
        <f t="shared" ca="1" si="3"/>
        <v/>
      </c>
      <c r="X10" s="7" t="str">
        <f t="shared" ca="1" si="4"/>
        <v/>
      </c>
      <c r="Y10" s="7" t="str">
        <f t="shared" ca="1" si="4"/>
        <v/>
      </c>
      <c r="Z10" s="7" t="str">
        <f t="shared" ca="1" si="4"/>
        <v/>
      </c>
      <c r="AA10" s="104" t="str">
        <f t="shared" ca="1" si="4"/>
        <v/>
      </c>
      <c r="AB10" s="104" t="str">
        <f t="shared" ca="1" si="4"/>
        <v/>
      </c>
      <c r="AC10" s="7" t="str">
        <f t="shared" ca="1" si="4"/>
        <v/>
      </c>
      <c r="AD10" s="7" t="str">
        <f t="shared" ca="1" si="4"/>
        <v/>
      </c>
      <c r="AE10" s="7" t="str">
        <f t="shared" ca="1" si="4"/>
        <v/>
      </c>
      <c r="AF10" s="7" t="str">
        <f t="shared" ca="1" si="4"/>
        <v/>
      </c>
      <c r="AG10" s="7" t="str">
        <f t="shared" ca="1" si="4"/>
        <v/>
      </c>
      <c r="AH10" s="104" t="str">
        <f t="shared" ca="1" si="4"/>
        <v/>
      </c>
      <c r="AI10" s="104" t="str">
        <f t="shared" ca="1" si="4"/>
        <v/>
      </c>
      <c r="AJ10" s="7" t="str">
        <f t="shared" ca="1" si="4"/>
        <v/>
      </c>
      <c r="AK10" s="7" t="str">
        <f t="shared" ca="1" si="4"/>
        <v/>
      </c>
      <c r="AL10" s="7" t="str">
        <f t="shared" ca="1" si="4"/>
        <v/>
      </c>
      <c r="AM10" s="7" t="str">
        <f t="shared" ca="1" si="4"/>
        <v/>
      </c>
      <c r="AN10" s="7" t="str">
        <f t="shared" ca="1" si="5"/>
        <v/>
      </c>
      <c r="AO10" s="104" t="str">
        <f t="shared" ca="1" si="5"/>
        <v/>
      </c>
      <c r="AP10" s="104" t="str">
        <f t="shared" ca="1" si="5"/>
        <v/>
      </c>
      <c r="AQ10" s="7" t="str">
        <f t="shared" ca="1" si="5"/>
        <v/>
      </c>
      <c r="AR10" s="7" t="str">
        <f t="shared" ca="1" si="5"/>
        <v/>
      </c>
      <c r="AS10" s="7" t="str">
        <f t="shared" ca="1" si="5"/>
        <v/>
      </c>
      <c r="AT10" s="7" t="str">
        <f t="shared" ca="1" si="5"/>
        <v/>
      </c>
      <c r="AU10" s="7" t="str">
        <f t="shared" ca="1" si="5"/>
        <v/>
      </c>
      <c r="AV10" s="104" t="str">
        <f t="shared" ca="1" si="5"/>
        <v/>
      </c>
      <c r="AW10" s="104" t="str">
        <f t="shared" ca="1" si="5"/>
        <v/>
      </c>
      <c r="AX10" s="7" t="str">
        <f t="shared" ca="1" si="5"/>
        <v/>
      </c>
      <c r="AY10" s="7" t="str">
        <f t="shared" ca="1" si="5"/>
        <v/>
      </c>
      <c r="AZ10" s="7" t="str">
        <f t="shared" ca="1" si="5"/>
        <v/>
      </c>
      <c r="BA10" s="45" t="str">
        <f t="shared" ca="1" si="5"/>
        <v/>
      </c>
      <c r="BB10" s="101" t="str">
        <f t="shared" ca="1" si="5"/>
        <v/>
      </c>
      <c r="BC10" s="105" t="str">
        <f t="shared" ca="1" si="5"/>
        <v/>
      </c>
      <c r="BD10" s="105" t="str">
        <f t="shared" ca="1" si="6"/>
        <v/>
      </c>
      <c r="BE10" s="103" t="str">
        <f t="shared" ca="1" si="6"/>
        <v/>
      </c>
      <c r="BF10" s="7" t="str">
        <f t="shared" ca="1" si="6"/>
        <v/>
      </c>
      <c r="BG10" s="7" t="str">
        <f t="shared" ca="1" si="6"/>
        <v/>
      </c>
      <c r="BH10" s="7" t="str">
        <f t="shared" ca="1" si="6"/>
        <v/>
      </c>
      <c r="BI10" s="7" t="str">
        <f t="shared" ca="1" si="6"/>
        <v/>
      </c>
      <c r="BJ10" s="7" t="str">
        <f t="shared" ca="1" si="6"/>
        <v/>
      </c>
      <c r="BK10" s="7" t="str">
        <f t="shared" ca="1" si="6"/>
        <v/>
      </c>
    </row>
    <row r="11" spans="1:67" x14ac:dyDescent="0.3">
      <c r="A11" s="57" t="s">
        <v>21</v>
      </c>
      <c r="B11" s="9" t="s">
        <v>3</v>
      </c>
      <c r="C11" s="9" t="s">
        <v>56</v>
      </c>
      <c r="D11" s="73">
        <v>0.3</v>
      </c>
      <c r="E11" s="83">
        <v>46037</v>
      </c>
      <c r="F11" s="10">
        <v>12</v>
      </c>
      <c r="G11" s="9"/>
      <c r="H11" s="7" t="str">
        <f t="shared" ca="1" si="7"/>
        <v/>
      </c>
      <c r="I11" s="7" t="str">
        <f t="shared" ca="1" si="3"/>
        <v/>
      </c>
      <c r="J11" s="7" t="str">
        <f t="shared" ca="1" si="3"/>
        <v/>
      </c>
      <c r="K11" s="45" t="str">
        <f t="shared" ca="1" si="3"/>
        <v/>
      </c>
      <c r="L11" s="7" t="str">
        <f t="shared" ca="1" si="3"/>
        <v/>
      </c>
      <c r="M11" s="7" t="str">
        <f t="shared" ca="1" si="3"/>
        <v/>
      </c>
      <c r="N11" s="7" t="str">
        <f t="shared" ca="1" si="3"/>
        <v/>
      </c>
      <c r="O11" s="7" t="str">
        <f t="shared" ca="1" si="3"/>
        <v/>
      </c>
      <c r="P11" s="7" t="str">
        <f t="shared" ca="1" si="3"/>
        <v/>
      </c>
      <c r="Q11" s="7" t="str">
        <f t="shared" ca="1" si="3"/>
        <v/>
      </c>
      <c r="R11" s="7" t="str">
        <f t="shared" ca="1" si="3"/>
        <v/>
      </c>
      <c r="S11" s="7" t="str">
        <f t="shared" ca="1" si="3"/>
        <v/>
      </c>
      <c r="T11" s="104" t="str">
        <f t="shared" ca="1" si="3"/>
        <v/>
      </c>
      <c r="U11" s="104" t="str">
        <f t="shared" ca="1" si="3"/>
        <v/>
      </c>
      <c r="V11" s="7" t="str">
        <f t="shared" ca="1" si="3"/>
        <v/>
      </c>
      <c r="W11" s="7" t="str">
        <f t="shared" ca="1" si="3"/>
        <v/>
      </c>
      <c r="X11" s="7" t="str">
        <f t="shared" ca="1" si="4"/>
        <v/>
      </c>
      <c r="Y11" s="7" t="str">
        <f t="shared" ca="1" si="4"/>
        <v/>
      </c>
      <c r="Z11" s="7" t="str">
        <f t="shared" ca="1" si="4"/>
        <v/>
      </c>
      <c r="AA11" s="104" t="str">
        <f t="shared" ca="1" si="4"/>
        <v/>
      </c>
      <c r="AB11" s="104" t="str">
        <f t="shared" ca="1" si="4"/>
        <v/>
      </c>
      <c r="AC11" s="7" t="str">
        <f t="shared" ca="1" si="4"/>
        <v/>
      </c>
      <c r="AD11" s="7" t="str">
        <f t="shared" ca="1" si="4"/>
        <v/>
      </c>
      <c r="AE11" s="7" t="str">
        <f t="shared" ca="1" si="4"/>
        <v/>
      </c>
      <c r="AF11" s="7" t="str">
        <f t="shared" ca="1" si="4"/>
        <v/>
      </c>
      <c r="AG11" s="7" t="str">
        <f t="shared" ca="1" si="4"/>
        <v/>
      </c>
      <c r="AH11" s="104" t="str">
        <f t="shared" ca="1" si="4"/>
        <v/>
      </c>
      <c r="AI11" s="104" t="str">
        <f t="shared" ca="1" si="4"/>
        <v/>
      </c>
      <c r="AJ11" s="7" t="str">
        <f t="shared" ca="1" si="4"/>
        <v/>
      </c>
      <c r="AK11" s="7" t="str">
        <f t="shared" ca="1" si="4"/>
        <v/>
      </c>
      <c r="AL11" s="7" t="str">
        <f t="shared" ca="1" si="4"/>
        <v/>
      </c>
      <c r="AM11" s="7" t="str">
        <f t="shared" ca="1" si="4"/>
        <v/>
      </c>
      <c r="AN11" s="7" t="str">
        <f t="shared" ca="1" si="5"/>
        <v/>
      </c>
      <c r="AO11" s="104" t="str">
        <f t="shared" ca="1" si="5"/>
        <v/>
      </c>
      <c r="AP11" s="104" t="str">
        <f t="shared" ca="1" si="5"/>
        <v/>
      </c>
      <c r="AQ11" s="7" t="str">
        <f t="shared" ca="1" si="5"/>
        <v/>
      </c>
      <c r="AR11" s="7" t="str">
        <f t="shared" ca="1" si="5"/>
        <v/>
      </c>
      <c r="AS11" s="7" t="str">
        <f t="shared" ca="1" si="5"/>
        <v/>
      </c>
      <c r="AT11" s="7" t="str">
        <f t="shared" ca="1" si="5"/>
        <v/>
      </c>
      <c r="AU11" s="7" t="str">
        <f t="shared" ca="1" si="5"/>
        <v/>
      </c>
      <c r="AV11" s="104" t="str">
        <f t="shared" ca="1" si="5"/>
        <v/>
      </c>
      <c r="AW11" s="104" t="str">
        <f t="shared" ca="1" si="5"/>
        <v/>
      </c>
      <c r="AX11" s="7" t="str">
        <f t="shared" ca="1" si="5"/>
        <v/>
      </c>
      <c r="AY11" s="7" t="str">
        <f t="shared" ca="1" si="5"/>
        <v/>
      </c>
      <c r="AZ11" s="7" t="str">
        <f t="shared" ca="1" si="5"/>
        <v/>
      </c>
      <c r="BA11" s="45" t="str">
        <f t="shared" ca="1" si="5"/>
        <v/>
      </c>
      <c r="BB11" s="101" t="str">
        <f t="shared" ca="1" si="5"/>
        <v/>
      </c>
      <c r="BC11" s="105" t="str">
        <f t="shared" ca="1" si="5"/>
        <v/>
      </c>
      <c r="BD11" s="105" t="str">
        <f t="shared" ca="1" si="6"/>
        <v/>
      </c>
      <c r="BE11" s="103" t="str">
        <f t="shared" ca="1" si="6"/>
        <v/>
      </c>
      <c r="BF11" s="7" t="str">
        <f t="shared" ca="1" si="6"/>
        <v/>
      </c>
      <c r="BG11" s="7" t="str">
        <f t="shared" ca="1" si="6"/>
        <v/>
      </c>
      <c r="BH11" s="7" t="str">
        <f t="shared" ca="1" si="6"/>
        <v/>
      </c>
      <c r="BI11" s="7" t="str">
        <f t="shared" ca="1" si="6"/>
        <v/>
      </c>
      <c r="BJ11" s="7" t="str">
        <f t="shared" ca="1" si="6"/>
        <v/>
      </c>
      <c r="BK11" s="7" t="str">
        <f t="shared" ca="1" si="6"/>
        <v/>
      </c>
    </row>
    <row r="12" spans="1:67" x14ac:dyDescent="0.3">
      <c r="A12" s="59" t="s">
        <v>43</v>
      </c>
      <c r="B12" s="39"/>
      <c r="C12" s="39"/>
      <c r="D12" s="74"/>
      <c r="E12" s="84"/>
      <c r="F12" s="60"/>
      <c r="G12" s="9"/>
      <c r="H12" s="7" t="str">
        <f t="shared" ca="1" si="7"/>
        <v/>
      </c>
      <c r="I12" s="7" t="str">
        <f t="shared" ca="1" si="3"/>
        <v/>
      </c>
      <c r="J12" s="7" t="str">
        <f t="shared" ca="1" si="3"/>
        <v/>
      </c>
      <c r="K12" s="7" t="str">
        <f t="shared" ca="1" si="3"/>
        <v/>
      </c>
      <c r="L12" s="7" t="str">
        <f t="shared" ca="1" si="3"/>
        <v/>
      </c>
      <c r="M12" s="7" t="str">
        <f t="shared" ca="1" si="3"/>
        <v/>
      </c>
      <c r="N12" s="7" t="str">
        <f t="shared" ca="1" si="3"/>
        <v/>
      </c>
      <c r="O12" s="7" t="str">
        <f t="shared" ca="1" si="3"/>
        <v/>
      </c>
      <c r="P12" s="7" t="str">
        <f t="shared" ca="1" si="3"/>
        <v/>
      </c>
      <c r="Q12" s="7" t="str">
        <f t="shared" ca="1" si="3"/>
        <v/>
      </c>
      <c r="R12" s="45" t="str">
        <f t="shared" ca="1" si="3"/>
        <v/>
      </c>
      <c r="S12" s="7" t="str">
        <f t="shared" ca="1" si="3"/>
        <v/>
      </c>
      <c r="T12" s="104" t="str">
        <f t="shared" ca="1" si="3"/>
        <v/>
      </c>
      <c r="U12" s="104" t="str">
        <f t="shared" ca="1" si="3"/>
        <v/>
      </c>
      <c r="V12" s="7" t="str">
        <f t="shared" ca="1" si="3"/>
        <v/>
      </c>
      <c r="W12" s="7" t="str">
        <f t="shared" ca="1" si="3"/>
        <v/>
      </c>
      <c r="X12" s="7" t="str">
        <f t="shared" ca="1" si="4"/>
        <v/>
      </c>
      <c r="Y12" s="7" t="str">
        <f t="shared" ca="1" si="4"/>
        <v/>
      </c>
      <c r="Z12" s="7" t="str">
        <f t="shared" ca="1" si="4"/>
        <v/>
      </c>
      <c r="AA12" s="104" t="str">
        <f t="shared" ca="1" si="4"/>
        <v/>
      </c>
      <c r="AB12" s="104" t="str">
        <f t="shared" ca="1" si="4"/>
        <v/>
      </c>
      <c r="AC12" s="7" t="str">
        <f t="shared" ca="1" si="4"/>
        <v/>
      </c>
      <c r="AD12" s="7" t="str">
        <f t="shared" ca="1" si="4"/>
        <v/>
      </c>
      <c r="AE12" s="7" t="str">
        <f t="shared" ca="1" si="4"/>
        <v/>
      </c>
      <c r="AF12" s="7" t="str">
        <f t="shared" ca="1" si="4"/>
        <v/>
      </c>
      <c r="AG12" s="7" t="str">
        <f t="shared" ca="1" si="4"/>
        <v/>
      </c>
      <c r="AH12" s="104" t="str">
        <f t="shared" ca="1" si="4"/>
        <v/>
      </c>
      <c r="AI12" s="104" t="str">
        <f t="shared" ca="1" si="4"/>
        <v/>
      </c>
      <c r="AJ12" s="7" t="str">
        <f t="shared" ca="1" si="4"/>
        <v/>
      </c>
      <c r="AK12" s="7" t="str">
        <f t="shared" ca="1" si="4"/>
        <v/>
      </c>
      <c r="AL12" s="7" t="str">
        <f t="shared" ca="1" si="4"/>
        <v/>
      </c>
      <c r="AM12" s="7" t="str">
        <f t="shared" ca="1" si="4"/>
        <v/>
      </c>
      <c r="AN12" s="7" t="str">
        <f t="shared" ca="1" si="5"/>
        <v/>
      </c>
      <c r="AO12" s="104" t="str">
        <f t="shared" ca="1" si="5"/>
        <v/>
      </c>
      <c r="AP12" s="104" t="str">
        <f t="shared" ca="1" si="5"/>
        <v/>
      </c>
      <c r="AQ12" s="7" t="str">
        <f t="shared" ca="1" si="5"/>
        <v/>
      </c>
      <c r="AR12" s="7" t="str">
        <f t="shared" ca="1" si="5"/>
        <v/>
      </c>
      <c r="AS12" s="7" t="str">
        <f t="shared" ca="1" si="5"/>
        <v/>
      </c>
      <c r="AT12" s="7" t="str">
        <f t="shared" ca="1" si="5"/>
        <v/>
      </c>
      <c r="AU12" s="7" t="str">
        <f t="shared" ca="1" si="5"/>
        <v/>
      </c>
      <c r="AV12" s="104" t="str">
        <f t="shared" ca="1" si="5"/>
        <v/>
      </c>
      <c r="AW12" s="104" t="str">
        <f t="shared" ca="1" si="5"/>
        <v/>
      </c>
      <c r="AX12" s="7" t="str">
        <f t="shared" ca="1" si="5"/>
        <v/>
      </c>
      <c r="AY12" s="7" t="str">
        <f t="shared" ca="1" si="5"/>
        <v/>
      </c>
      <c r="AZ12" s="7" t="str">
        <f t="shared" ca="1" si="5"/>
        <v/>
      </c>
      <c r="BA12" s="45" t="str">
        <f t="shared" ca="1" si="5"/>
        <v/>
      </c>
      <c r="BB12" s="101" t="str">
        <f t="shared" ca="1" si="5"/>
        <v/>
      </c>
      <c r="BC12" s="105" t="str">
        <f t="shared" ca="1" si="5"/>
        <v/>
      </c>
      <c r="BD12" s="105" t="str">
        <f t="shared" ca="1" si="6"/>
        <v/>
      </c>
      <c r="BE12" s="103" t="str">
        <f t="shared" ca="1" si="6"/>
        <v/>
      </c>
      <c r="BF12" s="7" t="str">
        <f t="shared" ca="1" si="6"/>
        <v/>
      </c>
      <c r="BG12" s="7" t="str">
        <f t="shared" ca="1" si="6"/>
        <v/>
      </c>
      <c r="BH12" s="7" t="str">
        <f t="shared" ca="1" si="6"/>
        <v/>
      </c>
      <c r="BI12" s="7" t="str">
        <f t="shared" ca="1" si="6"/>
        <v/>
      </c>
      <c r="BJ12" s="7" t="str">
        <f t="shared" ca="1" si="6"/>
        <v/>
      </c>
      <c r="BK12" s="7" t="str">
        <f t="shared" ca="1" si="6"/>
        <v/>
      </c>
    </row>
    <row r="13" spans="1:67" x14ac:dyDescent="0.3">
      <c r="A13" s="57" t="s">
        <v>24</v>
      </c>
      <c r="B13" s="9" t="s">
        <v>5</v>
      </c>
      <c r="C13" s="9" t="s">
        <v>58</v>
      </c>
      <c r="D13" s="73">
        <v>1</v>
      </c>
      <c r="E13" s="83">
        <v>46041</v>
      </c>
      <c r="F13" s="10">
        <v>4</v>
      </c>
      <c r="G13" s="9"/>
      <c r="H13" s="7" t="str">
        <f t="shared" ca="1" si="7"/>
        <v/>
      </c>
      <c r="I13" s="7" t="str">
        <f t="shared" ca="1" si="3"/>
        <v/>
      </c>
      <c r="J13" s="7" t="str">
        <f t="shared" ca="1" si="3"/>
        <v/>
      </c>
      <c r="K13" s="7" t="str">
        <f t="shared" ca="1" si="3"/>
        <v/>
      </c>
      <c r="L13" s="7" t="str">
        <f t="shared" ca="1" si="3"/>
        <v/>
      </c>
      <c r="M13" s="7" t="str">
        <f t="shared" ca="1" si="3"/>
        <v/>
      </c>
      <c r="N13" s="7" t="str">
        <f t="shared" ca="1" si="3"/>
        <v/>
      </c>
      <c r="O13" s="7" t="str">
        <f t="shared" ca="1" si="3"/>
        <v/>
      </c>
      <c r="P13" s="7" t="str">
        <f t="shared" ca="1" si="3"/>
        <v/>
      </c>
      <c r="Q13" s="7" t="str">
        <f t="shared" ca="1" si="3"/>
        <v/>
      </c>
      <c r="R13" s="45" t="str">
        <f t="shared" ca="1" si="3"/>
        <v/>
      </c>
      <c r="S13" s="7" t="str">
        <f t="shared" ca="1" si="3"/>
        <v/>
      </c>
      <c r="T13" s="104" t="str">
        <f t="shared" ca="1" si="3"/>
        <v/>
      </c>
      <c r="U13" s="104" t="str">
        <f t="shared" ca="1" si="3"/>
        <v/>
      </c>
      <c r="V13" s="7" t="str">
        <f t="shared" ca="1" si="3"/>
        <v/>
      </c>
      <c r="W13" s="7" t="str">
        <f t="shared" ca="1" si="3"/>
        <v/>
      </c>
      <c r="X13" s="7" t="str">
        <f t="shared" ca="1" si="4"/>
        <v/>
      </c>
      <c r="Y13" s="45" t="str">
        <f t="shared" ca="1" si="4"/>
        <v/>
      </c>
      <c r="Z13" s="7" t="str">
        <f t="shared" ca="1" si="4"/>
        <v/>
      </c>
      <c r="AA13" s="104" t="str">
        <f t="shared" ca="1" si="4"/>
        <v/>
      </c>
      <c r="AB13" s="104" t="str">
        <f t="shared" ca="1" si="4"/>
        <v/>
      </c>
      <c r="AC13" s="7" t="str">
        <f t="shared" ca="1" si="4"/>
        <v/>
      </c>
      <c r="AD13" s="7" t="str">
        <f t="shared" ca="1" si="4"/>
        <v/>
      </c>
      <c r="AE13" s="7" t="str">
        <f t="shared" ca="1" si="4"/>
        <v/>
      </c>
      <c r="AF13" s="7" t="str">
        <f t="shared" ca="1" si="4"/>
        <v/>
      </c>
      <c r="AG13" s="7" t="str">
        <f t="shared" ca="1" si="4"/>
        <v/>
      </c>
      <c r="AH13" s="104" t="str">
        <f t="shared" ca="1" si="4"/>
        <v/>
      </c>
      <c r="AI13" s="104" t="str">
        <f t="shared" ca="1" si="4"/>
        <v/>
      </c>
      <c r="AJ13" s="7" t="str">
        <f t="shared" ca="1" si="4"/>
        <v/>
      </c>
      <c r="AK13" s="7" t="str">
        <f t="shared" ca="1" si="4"/>
        <v/>
      </c>
      <c r="AL13" s="7" t="str">
        <f t="shared" ca="1" si="4"/>
        <v/>
      </c>
      <c r="AM13" s="7" t="str">
        <f t="shared" ca="1" si="4"/>
        <v/>
      </c>
      <c r="AN13" s="7" t="str">
        <f t="shared" ca="1" si="5"/>
        <v/>
      </c>
      <c r="AO13" s="104" t="str">
        <f t="shared" ca="1" si="5"/>
        <v/>
      </c>
      <c r="AP13" s="104" t="str">
        <f t="shared" ca="1" si="5"/>
        <v/>
      </c>
      <c r="AQ13" s="7" t="str">
        <f t="shared" ca="1" si="5"/>
        <v/>
      </c>
      <c r="AR13" s="7" t="str">
        <f t="shared" ca="1" si="5"/>
        <v/>
      </c>
      <c r="AS13" s="7" t="str">
        <f t="shared" ca="1" si="5"/>
        <v/>
      </c>
      <c r="AT13" s="7" t="str">
        <f t="shared" ca="1" si="5"/>
        <v/>
      </c>
      <c r="AU13" s="7" t="str">
        <f t="shared" ca="1" si="5"/>
        <v/>
      </c>
      <c r="AV13" s="104" t="str">
        <f t="shared" ca="1" si="5"/>
        <v/>
      </c>
      <c r="AW13" s="104" t="str">
        <f t="shared" ca="1" si="5"/>
        <v/>
      </c>
      <c r="AX13" s="7" t="str">
        <f t="shared" ca="1" si="5"/>
        <v/>
      </c>
      <c r="AY13" s="7" t="str">
        <f t="shared" ca="1" si="5"/>
        <v/>
      </c>
      <c r="AZ13" s="7" t="str">
        <f t="shared" ca="1" si="5"/>
        <v/>
      </c>
      <c r="BA13" s="45" t="str">
        <f t="shared" ca="1" si="5"/>
        <v/>
      </c>
      <c r="BB13" s="101" t="str">
        <f t="shared" ca="1" si="5"/>
        <v/>
      </c>
      <c r="BC13" s="105" t="str">
        <f t="shared" ca="1" si="5"/>
        <v/>
      </c>
      <c r="BD13" s="105" t="str">
        <f t="shared" ca="1" si="6"/>
        <v/>
      </c>
      <c r="BE13" s="103" t="str">
        <f t="shared" ca="1" si="6"/>
        <v/>
      </c>
      <c r="BF13" s="7" t="str">
        <f t="shared" ca="1" si="6"/>
        <v/>
      </c>
      <c r="BG13" s="7" t="str">
        <f t="shared" ca="1" si="6"/>
        <v/>
      </c>
      <c r="BH13" s="7" t="str">
        <f t="shared" ca="1" si="6"/>
        <v/>
      </c>
      <c r="BI13" s="7" t="str">
        <f t="shared" ca="1" si="6"/>
        <v/>
      </c>
      <c r="BJ13" s="7" t="str">
        <f t="shared" ca="1" si="6"/>
        <v/>
      </c>
      <c r="BK13" s="7" t="str">
        <f t="shared" ca="1" si="6"/>
        <v/>
      </c>
    </row>
    <row r="14" spans="1:67" x14ac:dyDescent="0.3">
      <c r="A14" s="57" t="s">
        <v>25</v>
      </c>
      <c r="B14" s="9" t="s">
        <v>4</v>
      </c>
      <c r="C14" s="9" t="s">
        <v>60</v>
      </c>
      <c r="D14" s="73">
        <v>0.05</v>
      </c>
      <c r="E14" s="83">
        <v>46042</v>
      </c>
      <c r="F14" s="10">
        <v>7</v>
      </c>
      <c r="G14" s="9"/>
      <c r="H14" s="7" t="str">
        <f t="shared" ca="1" si="7"/>
        <v/>
      </c>
      <c r="I14" s="7" t="str">
        <f t="shared" ca="1" si="3"/>
        <v/>
      </c>
      <c r="J14" s="7" t="str">
        <f t="shared" ca="1" si="3"/>
        <v/>
      </c>
      <c r="K14" s="7" t="str">
        <f t="shared" ca="1" si="3"/>
        <v/>
      </c>
      <c r="L14" s="7" t="str">
        <f t="shared" ca="1" si="3"/>
        <v/>
      </c>
      <c r="M14" s="7" t="str">
        <f t="shared" ca="1" si="3"/>
        <v/>
      </c>
      <c r="N14" s="7" t="str">
        <f t="shared" ca="1" si="3"/>
        <v/>
      </c>
      <c r="O14" s="7" t="str">
        <f t="shared" ca="1" si="3"/>
        <v/>
      </c>
      <c r="P14" s="7" t="str">
        <f t="shared" ca="1" si="3"/>
        <v/>
      </c>
      <c r="Q14" s="7" t="str">
        <f t="shared" ca="1" si="3"/>
        <v/>
      </c>
      <c r="R14" s="7" t="str">
        <f t="shared" ca="1" si="3"/>
        <v/>
      </c>
      <c r="S14" s="7" t="str">
        <f t="shared" ca="1" si="3"/>
        <v/>
      </c>
      <c r="T14" s="104" t="str">
        <f t="shared" ca="1" si="3"/>
        <v/>
      </c>
      <c r="U14" s="104" t="str">
        <f t="shared" ca="1" si="3"/>
        <v/>
      </c>
      <c r="V14" s="7" t="str">
        <f t="shared" ca="1" si="3"/>
        <v/>
      </c>
      <c r="W14" s="7" t="str">
        <f t="shared" ca="1" si="3"/>
        <v/>
      </c>
      <c r="X14" s="7" t="str">
        <f t="shared" ca="1" si="4"/>
        <v/>
      </c>
      <c r="Y14" s="45" t="str">
        <f t="shared" ca="1" si="4"/>
        <v/>
      </c>
      <c r="Z14" s="7" t="str">
        <f t="shared" ca="1" si="4"/>
        <v/>
      </c>
      <c r="AA14" s="104" t="str">
        <f t="shared" ca="1" si="4"/>
        <v/>
      </c>
      <c r="AB14" s="104" t="str">
        <f t="shared" ca="1" si="4"/>
        <v/>
      </c>
      <c r="AC14" s="7" t="str">
        <f t="shared" ca="1" si="4"/>
        <v/>
      </c>
      <c r="AD14" s="7" t="str">
        <f t="shared" ca="1" si="4"/>
        <v/>
      </c>
      <c r="AE14" s="7" t="str">
        <f t="shared" ca="1" si="4"/>
        <v/>
      </c>
      <c r="AF14" s="7" t="str">
        <f t="shared" ca="1" si="4"/>
        <v/>
      </c>
      <c r="AG14" s="7" t="str">
        <f t="shared" ca="1" si="4"/>
        <v/>
      </c>
      <c r="AH14" s="104" t="str">
        <f t="shared" ca="1" si="4"/>
        <v/>
      </c>
      <c r="AI14" s="104" t="str">
        <f t="shared" ca="1" si="4"/>
        <v/>
      </c>
      <c r="AJ14" s="7" t="str">
        <f t="shared" ca="1" si="4"/>
        <v/>
      </c>
      <c r="AK14" s="7" t="str">
        <f t="shared" ca="1" si="4"/>
        <v/>
      </c>
      <c r="AL14" s="7" t="str">
        <f t="shared" ca="1" si="4"/>
        <v/>
      </c>
      <c r="AM14" s="7" t="str">
        <f t="shared" ca="1" si="4"/>
        <v/>
      </c>
      <c r="AN14" s="7" t="str">
        <f t="shared" ca="1" si="5"/>
        <v/>
      </c>
      <c r="AO14" s="104" t="str">
        <f t="shared" ca="1" si="5"/>
        <v/>
      </c>
      <c r="AP14" s="104" t="str">
        <f t="shared" ca="1" si="5"/>
        <v/>
      </c>
      <c r="AQ14" s="7" t="str">
        <f t="shared" ca="1" si="5"/>
        <v/>
      </c>
      <c r="AR14" s="7" t="str">
        <f t="shared" ca="1" si="5"/>
        <v/>
      </c>
      <c r="AS14" s="7" t="str">
        <f t="shared" ca="1" si="5"/>
        <v/>
      </c>
      <c r="AT14" s="7" t="str">
        <f t="shared" ca="1" si="5"/>
        <v/>
      </c>
      <c r="AU14" s="7" t="str">
        <f t="shared" ca="1" si="5"/>
        <v/>
      </c>
      <c r="AV14" s="104" t="str">
        <f t="shared" ca="1" si="5"/>
        <v/>
      </c>
      <c r="AW14" s="104" t="str">
        <f t="shared" ca="1" si="5"/>
        <v/>
      </c>
      <c r="AX14" s="7" t="str">
        <f t="shared" ca="1" si="5"/>
        <v/>
      </c>
      <c r="AY14" s="7" t="str">
        <f t="shared" ca="1" si="5"/>
        <v/>
      </c>
      <c r="AZ14" s="7" t="str">
        <f t="shared" ca="1" si="5"/>
        <v/>
      </c>
      <c r="BA14" s="45" t="str">
        <f t="shared" ca="1" si="5"/>
        <v/>
      </c>
      <c r="BB14" s="101" t="str">
        <f t="shared" ca="1" si="5"/>
        <v/>
      </c>
      <c r="BC14" s="105" t="str">
        <f t="shared" ca="1" si="5"/>
        <v/>
      </c>
      <c r="BD14" s="105" t="str">
        <f t="shared" ca="1" si="6"/>
        <v/>
      </c>
      <c r="BE14" s="103" t="str">
        <f t="shared" ca="1" si="6"/>
        <v/>
      </c>
      <c r="BF14" s="7" t="str">
        <f t="shared" ca="1" si="6"/>
        <v/>
      </c>
      <c r="BG14" s="7" t="str">
        <f t="shared" ca="1" si="6"/>
        <v/>
      </c>
      <c r="BH14" s="7" t="str">
        <f t="shared" ca="1" si="6"/>
        <v/>
      </c>
      <c r="BI14" s="7" t="str">
        <f t="shared" ca="1" si="6"/>
        <v/>
      </c>
      <c r="BJ14" s="7" t="str">
        <f t="shared" ca="1" si="6"/>
        <v/>
      </c>
      <c r="BK14" s="7" t="str">
        <f t="shared" ca="1" si="6"/>
        <v/>
      </c>
    </row>
    <row r="15" spans="1:67" x14ac:dyDescent="0.3">
      <c r="A15" s="57" t="s">
        <v>26</v>
      </c>
      <c r="B15" s="9" t="s">
        <v>4</v>
      </c>
      <c r="C15" s="9" t="s">
        <v>61</v>
      </c>
      <c r="D15" s="73">
        <v>0.05</v>
      </c>
      <c r="E15" s="83">
        <v>46043</v>
      </c>
      <c r="F15" s="10">
        <v>6</v>
      </c>
      <c r="G15" s="9"/>
      <c r="H15" s="7" t="str">
        <f t="shared" ca="1" si="7"/>
        <v/>
      </c>
      <c r="I15" s="7" t="str">
        <f t="shared" ca="1" si="3"/>
        <v/>
      </c>
      <c r="J15" s="7" t="str">
        <f t="shared" ca="1" si="3"/>
        <v/>
      </c>
      <c r="K15" s="7" t="str">
        <f t="shared" ca="1" si="3"/>
        <v/>
      </c>
      <c r="L15" s="7" t="str">
        <f t="shared" ca="1" si="3"/>
        <v/>
      </c>
      <c r="M15" s="7" t="str">
        <f t="shared" ca="1" si="3"/>
        <v/>
      </c>
      <c r="N15" s="7" t="str">
        <f t="shared" ca="1" si="3"/>
        <v/>
      </c>
      <c r="O15" s="7" t="str">
        <f t="shared" ca="1" si="3"/>
        <v/>
      </c>
      <c r="P15" s="7" t="str">
        <f t="shared" ca="1" si="3"/>
        <v/>
      </c>
      <c r="Q15" s="7" t="str">
        <f t="shared" ca="1" si="3"/>
        <v/>
      </c>
      <c r="R15" s="7" t="str">
        <f t="shared" ca="1" si="3"/>
        <v/>
      </c>
      <c r="S15" s="7" t="str">
        <f t="shared" ca="1" si="3"/>
        <v/>
      </c>
      <c r="T15" s="104" t="str">
        <f t="shared" ca="1" si="3"/>
        <v/>
      </c>
      <c r="U15" s="104" t="str">
        <f t="shared" ca="1" si="3"/>
        <v/>
      </c>
      <c r="V15" s="7" t="str">
        <f t="shared" ca="1" si="3"/>
        <v/>
      </c>
      <c r="W15" s="7" t="str">
        <f t="shared" ca="1" si="3"/>
        <v/>
      </c>
      <c r="X15" s="7" t="str">
        <f t="shared" ca="1" si="4"/>
        <v/>
      </c>
      <c r="Y15" s="45" t="str">
        <f t="shared" ca="1" si="4"/>
        <v/>
      </c>
      <c r="Z15" s="7" t="str">
        <f t="shared" ca="1" si="4"/>
        <v/>
      </c>
      <c r="AA15" s="104" t="str">
        <f t="shared" ca="1" si="4"/>
        <v/>
      </c>
      <c r="AB15" s="104" t="str">
        <f t="shared" ca="1" si="4"/>
        <v/>
      </c>
      <c r="AC15" s="7" t="str">
        <f t="shared" ca="1" si="4"/>
        <v/>
      </c>
      <c r="AD15" s="7" t="str">
        <f t="shared" ca="1" si="4"/>
        <v/>
      </c>
      <c r="AE15" s="7" t="str">
        <f t="shared" ca="1" si="4"/>
        <v/>
      </c>
      <c r="AF15" s="7" t="str">
        <f t="shared" ca="1" si="4"/>
        <v/>
      </c>
      <c r="AG15" s="7" t="str">
        <f t="shared" ca="1" si="4"/>
        <v/>
      </c>
      <c r="AH15" s="104" t="str">
        <f t="shared" ca="1" si="4"/>
        <v/>
      </c>
      <c r="AI15" s="104" t="str">
        <f t="shared" ca="1" si="4"/>
        <v/>
      </c>
      <c r="AJ15" s="7" t="str">
        <f t="shared" ca="1" si="4"/>
        <v/>
      </c>
      <c r="AK15" s="7" t="str">
        <f t="shared" ca="1" si="4"/>
        <v/>
      </c>
      <c r="AL15" s="7" t="str">
        <f t="shared" ca="1" si="4"/>
        <v/>
      </c>
      <c r="AM15" s="7" t="str">
        <f t="shared" ca="1" si="4"/>
        <v/>
      </c>
      <c r="AN15" s="7" t="str">
        <f t="shared" ca="1" si="5"/>
        <v/>
      </c>
      <c r="AO15" s="104" t="str">
        <f t="shared" ca="1" si="5"/>
        <v/>
      </c>
      <c r="AP15" s="104" t="str">
        <f t="shared" ca="1" si="5"/>
        <v/>
      </c>
      <c r="AQ15" s="7" t="str">
        <f t="shared" ca="1" si="5"/>
        <v/>
      </c>
      <c r="AR15" s="7" t="str">
        <f t="shared" ca="1" si="5"/>
        <v/>
      </c>
      <c r="AS15" s="7" t="str">
        <f t="shared" ca="1" si="5"/>
        <v/>
      </c>
      <c r="AT15" s="7" t="str">
        <f t="shared" ca="1" si="5"/>
        <v/>
      </c>
      <c r="AU15" s="7" t="str">
        <f t="shared" ca="1" si="5"/>
        <v/>
      </c>
      <c r="AV15" s="104" t="str">
        <f t="shared" ca="1" si="5"/>
        <v/>
      </c>
      <c r="AW15" s="104" t="str">
        <f t="shared" ca="1" si="5"/>
        <v/>
      </c>
      <c r="AX15" s="7" t="str">
        <f t="shared" ca="1" si="5"/>
        <v/>
      </c>
      <c r="AY15" s="7" t="str">
        <f t="shared" ca="1" si="5"/>
        <v/>
      </c>
      <c r="AZ15" s="7" t="str">
        <f t="shared" ca="1" si="5"/>
        <v/>
      </c>
      <c r="BA15" s="45" t="str">
        <f t="shared" ca="1" si="5"/>
        <v/>
      </c>
      <c r="BB15" s="101" t="str">
        <f t="shared" ca="1" si="5"/>
        <v/>
      </c>
      <c r="BC15" s="105" t="str">
        <f t="shared" ca="1" si="5"/>
        <v/>
      </c>
      <c r="BD15" s="105" t="str">
        <f t="shared" ca="1" si="6"/>
        <v/>
      </c>
      <c r="BE15" s="103" t="str">
        <f t="shared" ca="1" si="6"/>
        <v/>
      </c>
      <c r="BF15" s="7" t="str">
        <f t="shared" ca="1" si="6"/>
        <v/>
      </c>
      <c r="BG15" s="7" t="str">
        <f t="shared" ca="1" si="6"/>
        <v/>
      </c>
      <c r="BH15" s="7" t="str">
        <f t="shared" ca="1" si="6"/>
        <v/>
      </c>
      <c r="BI15" s="7" t="str">
        <f t="shared" ca="1" si="6"/>
        <v/>
      </c>
      <c r="BJ15" s="7" t="str">
        <f t="shared" ca="1" si="6"/>
        <v/>
      </c>
      <c r="BK15" s="7" t="str">
        <f t="shared" ca="1" si="6"/>
        <v/>
      </c>
    </row>
    <row r="16" spans="1:67" x14ac:dyDescent="0.3">
      <c r="A16" s="91" t="s">
        <v>62</v>
      </c>
      <c r="B16" s="9" t="s">
        <v>1</v>
      </c>
      <c r="C16" s="9" t="s">
        <v>63</v>
      </c>
      <c r="D16" s="73">
        <v>0.5</v>
      </c>
      <c r="E16" s="92">
        <v>46044</v>
      </c>
      <c r="F16" s="10">
        <v>3</v>
      </c>
      <c r="G16" s="9"/>
      <c r="H16" s="7" t="str">
        <f t="shared" ca="1" si="7"/>
        <v/>
      </c>
      <c r="I16" s="7" t="str">
        <f t="shared" ca="1" si="3"/>
        <v/>
      </c>
      <c r="J16" s="7" t="str">
        <f t="shared" ca="1" si="3"/>
        <v/>
      </c>
      <c r="K16" s="7" t="str">
        <f t="shared" ca="1" si="3"/>
        <v/>
      </c>
      <c r="L16" s="7" t="str">
        <f t="shared" ca="1" si="3"/>
        <v/>
      </c>
      <c r="M16" s="7" t="str">
        <f t="shared" ca="1" si="3"/>
        <v/>
      </c>
      <c r="N16" s="7" t="str">
        <f t="shared" ca="1" si="3"/>
        <v/>
      </c>
      <c r="O16" s="7" t="str">
        <f t="shared" ca="1" si="3"/>
        <v/>
      </c>
      <c r="P16" s="7" t="str">
        <f t="shared" ca="1" si="3"/>
        <v/>
      </c>
      <c r="Q16" s="7" t="str">
        <f t="shared" ca="1" si="3"/>
        <v/>
      </c>
      <c r="R16" s="7">
        <f t="shared" ca="1" si="3"/>
        <v>1</v>
      </c>
      <c r="S16" s="7">
        <f t="shared" ca="1" si="3"/>
        <v>1</v>
      </c>
      <c r="T16" s="104">
        <f t="shared" ca="1" si="3"/>
        <v>1</v>
      </c>
      <c r="U16" s="104" t="str">
        <f t="shared" ca="1" si="3"/>
        <v/>
      </c>
      <c r="V16" s="7" t="str">
        <f t="shared" ca="1" si="3"/>
        <v/>
      </c>
      <c r="W16" s="7" t="str">
        <f t="shared" ca="1" si="3"/>
        <v/>
      </c>
      <c r="X16" s="7" t="str">
        <f t="shared" ca="1" si="4"/>
        <v/>
      </c>
      <c r="Y16" s="45" t="str">
        <f t="shared" ca="1" si="4"/>
        <v/>
      </c>
      <c r="Z16" s="7" t="str">
        <f t="shared" ca="1" si="4"/>
        <v/>
      </c>
      <c r="AA16" s="104" t="str">
        <f t="shared" ca="1" si="4"/>
        <v/>
      </c>
      <c r="AB16" s="104" t="str">
        <f t="shared" ca="1" si="4"/>
        <v/>
      </c>
      <c r="AC16" s="7" t="str">
        <f t="shared" ca="1" si="4"/>
        <v/>
      </c>
      <c r="AD16" s="7" t="str">
        <f t="shared" ca="1" si="4"/>
        <v/>
      </c>
      <c r="AE16" s="7" t="str">
        <f t="shared" ca="1" si="4"/>
        <v/>
      </c>
      <c r="AF16" s="7" t="str">
        <f t="shared" ca="1" si="4"/>
        <v/>
      </c>
      <c r="AG16" s="7" t="str">
        <f t="shared" ca="1" si="4"/>
        <v/>
      </c>
      <c r="AH16" s="104" t="str">
        <f t="shared" ca="1" si="4"/>
        <v/>
      </c>
      <c r="AI16" s="104" t="str">
        <f t="shared" ca="1" si="4"/>
        <v/>
      </c>
      <c r="AJ16" s="7" t="str">
        <f t="shared" ca="1" si="4"/>
        <v/>
      </c>
      <c r="AK16" s="7" t="str">
        <f t="shared" ca="1" si="4"/>
        <v/>
      </c>
      <c r="AL16" s="7" t="str">
        <f t="shared" ca="1" si="4"/>
        <v/>
      </c>
      <c r="AM16" s="7" t="str">
        <f t="shared" ca="1" si="4"/>
        <v/>
      </c>
      <c r="AN16" s="7" t="str">
        <f t="shared" ca="1" si="5"/>
        <v/>
      </c>
      <c r="AO16" s="104" t="str">
        <f t="shared" ca="1" si="5"/>
        <v/>
      </c>
      <c r="AP16" s="104" t="str">
        <f t="shared" ca="1" si="5"/>
        <v/>
      </c>
      <c r="AQ16" s="7" t="str">
        <f t="shared" ca="1" si="5"/>
        <v/>
      </c>
      <c r="AR16" s="7" t="str">
        <f t="shared" ca="1" si="5"/>
        <v/>
      </c>
      <c r="AS16" s="7" t="str">
        <f t="shared" ca="1" si="5"/>
        <v/>
      </c>
      <c r="AT16" s="7" t="str">
        <f t="shared" ca="1" si="5"/>
        <v/>
      </c>
      <c r="AU16" s="7" t="str">
        <f t="shared" ca="1" si="5"/>
        <v/>
      </c>
      <c r="AV16" s="104" t="str">
        <f t="shared" ca="1" si="5"/>
        <v/>
      </c>
      <c r="AW16" s="104" t="str">
        <f t="shared" ca="1" si="5"/>
        <v/>
      </c>
      <c r="AX16" s="7" t="str">
        <f t="shared" ca="1" si="5"/>
        <v/>
      </c>
      <c r="AY16" s="7" t="str">
        <f t="shared" ca="1" si="5"/>
        <v/>
      </c>
      <c r="AZ16" s="7" t="str">
        <f t="shared" ca="1" si="5"/>
        <v/>
      </c>
      <c r="BA16" s="45" t="str">
        <f t="shared" ca="1" si="5"/>
        <v/>
      </c>
      <c r="BB16" s="101" t="str">
        <f t="shared" ca="1" si="5"/>
        <v/>
      </c>
      <c r="BC16" s="105" t="str">
        <f t="shared" ca="1" si="5"/>
        <v/>
      </c>
      <c r="BD16" s="105" t="str">
        <f t="shared" ca="1" si="6"/>
        <v/>
      </c>
      <c r="BE16" s="103" t="str">
        <f t="shared" ca="1" si="6"/>
        <v/>
      </c>
      <c r="BF16" s="7" t="str">
        <f t="shared" ca="1" si="6"/>
        <v/>
      </c>
      <c r="BG16" s="7" t="str">
        <f t="shared" ca="1" si="6"/>
        <v/>
      </c>
      <c r="BH16" s="7" t="str">
        <f t="shared" ca="1" si="6"/>
        <v/>
      </c>
      <c r="BI16" s="7" t="str">
        <f t="shared" ca="1" si="6"/>
        <v/>
      </c>
      <c r="BJ16" s="7" t="str">
        <f t="shared" ca="1" si="6"/>
        <v/>
      </c>
      <c r="BK16" s="7" t="str">
        <f t="shared" ca="1" si="6"/>
        <v/>
      </c>
    </row>
    <row r="17" spans="1:63" x14ac:dyDescent="0.3">
      <c r="A17" s="61" t="s">
        <v>44</v>
      </c>
      <c r="B17" s="40"/>
      <c r="C17" s="40"/>
      <c r="D17" s="75"/>
      <c r="E17" s="85"/>
      <c r="F17" s="62"/>
      <c r="G17" s="9"/>
      <c r="H17" s="7" t="str">
        <f t="shared" ca="1" si="7"/>
        <v/>
      </c>
      <c r="I17" s="7" t="str">
        <f t="shared" ca="1" si="3"/>
        <v/>
      </c>
      <c r="J17" s="7" t="str">
        <f t="shared" ca="1" si="3"/>
        <v/>
      </c>
      <c r="K17" s="7" t="str">
        <f t="shared" ca="1" si="3"/>
        <v/>
      </c>
      <c r="L17" s="7" t="str">
        <f t="shared" ca="1" si="3"/>
        <v/>
      </c>
      <c r="M17" s="7" t="str">
        <f t="shared" ca="1" si="3"/>
        <v/>
      </c>
      <c r="N17" s="7" t="str">
        <f t="shared" ca="1" si="3"/>
        <v/>
      </c>
      <c r="O17" s="7" t="str">
        <f t="shared" ca="1" si="3"/>
        <v/>
      </c>
      <c r="P17" s="7" t="str">
        <f t="shared" ca="1" si="3"/>
        <v/>
      </c>
      <c r="Q17" s="7" t="str">
        <f t="shared" ca="1" si="3"/>
        <v/>
      </c>
      <c r="R17" s="7" t="str">
        <f t="shared" ca="1" si="3"/>
        <v/>
      </c>
      <c r="S17" s="7" t="str">
        <f t="shared" ca="1" si="3"/>
        <v/>
      </c>
      <c r="T17" s="104" t="str">
        <f t="shared" ca="1" si="3"/>
        <v/>
      </c>
      <c r="U17" s="104" t="str">
        <f t="shared" ca="1" si="3"/>
        <v/>
      </c>
      <c r="V17" s="7" t="str">
        <f t="shared" ca="1" si="3"/>
        <v/>
      </c>
      <c r="W17" s="7" t="str">
        <f t="shared" ca="1" si="3"/>
        <v/>
      </c>
      <c r="X17" s="7" t="str">
        <f t="shared" ca="1" si="4"/>
        <v/>
      </c>
      <c r="Y17" s="45" t="str">
        <f t="shared" ca="1" si="4"/>
        <v/>
      </c>
      <c r="Z17" s="7" t="str">
        <f t="shared" ca="1" si="4"/>
        <v/>
      </c>
      <c r="AA17" s="104" t="str">
        <f t="shared" ca="1" si="4"/>
        <v/>
      </c>
      <c r="AB17" s="104" t="str">
        <f t="shared" ca="1" si="4"/>
        <v/>
      </c>
      <c r="AC17" s="7" t="str">
        <f t="shared" ca="1" si="4"/>
        <v/>
      </c>
      <c r="AD17" s="7" t="str">
        <f t="shared" ca="1" si="4"/>
        <v/>
      </c>
      <c r="AE17" s="7" t="str">
        <f t="shared" ca="1" si="4"/>
        <v/>
      </c>
      <c r="AF17" s="7" t="str">
        <f t="shared" ca="1" si="4"/>
        <v/>
      </c>
      <c r="AG17" s="7" t="str">
        <f t="shared" ca="1" si="4"/>
        <v/>
      </c>
      <c r="AH17" s="104" t="str">
        <f t="shared" ca="1" si="4"/>
        <v/>
      </c>
      <c r="AI17" s="104" t="str">
        <f t="shared" ca="1" si="4"/>
        <v/>
      </c>
      <c r="AJ17" s="7" t="str">
        <f t="shared" ca="1" si="4"/>
        <v/>
      </c>
      <c r="AK17" s="7" t="str">
        <f t="shared" ca="1" si="4"/>
        <v/>
      </c>
      <c r="AL17" s="7" t="str">
        <f t="shared" ca="1" si="4"/>
        <v/>
      </c>
      <c r="AM17" s="7" t="str">
        <f t="shared" ca="1" si="4"/>
        <v/>
      </c>
      <c r="AN17" s="7" t="str">
        <f t="shared" ca="1" si="5"/>
        <v/>
      </c>
      <c r="AO17" s="104" t="str">
        <f t="shared" ca="1" si="5"/>
        <v/>
      </c>
      <c r="AP17" s="104" t="str">
        <f t="shared" ca="1" si="5"/>
        <v/>
      </c>
      <c r="AQ17" s="7" t="str">
        <f t="shared" ca="1" si="5"/>
        <v/>
      </c>
      <c r="AR17" s="7" t="str">
        <f t="shared" ca="1" si="5"/>
        <v/>
      </c>
      <c r="AS17" s="7" t="str">
        <f t="shared" ca="1" si="5"/>
        <v/>
      </c>
      <c r="AT17" s="7" t="str">
        <f t="shared" ca="1" si="5"/>
        <v/>
      </c>
      <c r="AU17" s="7" t="str">
        <f t="shared" ca="1" si="5"/>
        <v/>
      </c>
      <c r="AV17" s="104" t="str">
        <f t="shared" ca="1" si="5"/>
        <v/>
      </c>
      <c r="AW17" s="104" t="str">
        <f t="shared" ca="1" si="5"/>
        <v/>
      </c>
      <c r="AX17" s="7" t="str">
        <f t="shared" ca="1" si="5"/>
        <v/>
      </c>
      <c r="AY17" s="7" t="str">
        <f t="shared" ca="1" si="5"/>
        <v/>
      </c>
      <c r="AZ17" s="7" t="str">
        <f t="shared" ca="1" si="5"/>
        <v/>
      </c>
      <c r="BA17" s="45" t="str">
        <f t="shared" ca="1" si="5"/>
        <v/>
      </c>
      <c r="BB17" s="101" t="str">
        <f t="shared" ca="1" si="5"/>
        <v/>
      </c>
      <c r="BC17" s="105" t="str">
        <f t="shared" ca="1" si="5"/>
        <v/>
      </c>
      <c r="BD17" s="105" t="str">
        <f t="shared" ca="1" si="6"/>
        <v/>
      </c>
      <c r="BE17" s="103" t="str">
        <f t="shared" ca="1" si="6"/>
        <v/>
      </c>
      <c r="BF17" s="7" t="str">
        <f t="shared" ca="1" si="6"/>
        <v/>
      </c>
      <c r="BG17" s="7" t="str">
        <f t="shared" ca="1" si="6"/>
        <v/>
      </c>
      <c r="BH17" s="7" t="str">
        <f t="shared" ca="1" si="6"/>
        <v/>
      </c>
      <c r="BI17" s="7" t="str">
        <f t="shared" ca="1" si="6"/>
        <v/>
      </c>
      <c r="BJ17" s="7" t="str">
        <f t="shared" ca="1" si="6"/>
        <v/>
      </c>
      <c r="BK17" s="7" t="str">
        <f t="shared" ca="1" si="6"/>
        <v/>
      </c>
    </row>
    <row r="18" spans="1:63" x14ac:dyDescent="0.3">
      <c r="A18" s="57" t="s">
        <v>64</v>
      </c>
      <c r="B18" s="9" t="s">
        <v>3</v>
      </c>
      <c r="C18" s="9" t="s">
        <v>66</v>
      </c>
      <c r="D18" s="73">
        <v>0.5</v>
      </c>
      <c r="E18" s="83">
        <v>46043</v>
      </c>
      <c r="F18" s="10">
        <v>2</v>
      </c>
      <c r="G18" s="9"/>
      <c r="H18" s="7" t="str">
        <f t="shared" ca="1" si="7"/>
        <v/>
      </c>
      <c r="I18" s="7" t="str">
        <f t="shared" ca="1" si="3"/>
        <v/>
      </c>
      <c r="J18" s="7" t="str">
        <f t="shared" ca="1" si="3"/>
        <v/>
      </c>
      <c r="K18" s="7" t="str">
        <f t="shared" ca="1" si="3"/>
        <v/>
      </c>
      <c r="L18" s="7" t="str">
        <f t="shared" ca="1" si="3"/>
        <v/>
      </c>
      <c r="M18" s="7" t="str">
        <f t="shared" ca="1" si="3"/>
        <v/>
      </c>
      <c r="N18" s="7" t="str">
        <f t="shared" ca="1" si="3"/>
        <v/>
      </c>
      <c r="O18" s="7" t="str">
        <f t="shared" ca="1" si="3"/>
        <v/>
      </c>
      <c r="P18" s="7" t="str">
        <f t="shared" ca="1" si="3"/>
        <v/>
      </c>
      <c r="Q18" s="7" t="str">
        <f t="shared" ca="1" si="3"/>
        <v/>
      </c>
      <c r="R18" s="7" t="str">
        <f t="shared" ca="1" si="3"/>
        <v/>
      </c>
      <c r="S18" s="7" t="str">
        <f t="shared" ca="1" si="3"/>
        <v/>
      </c>
      <c r="T18" s="7" t="str">
        <f t="shared" ca="1" si="3"/>
        <v/>
      </c>
      <c r="U18" s="7" t="str">
        <f t="shared" ca="1" si="3"/>
        <v/>
      </c>
      <c r="V18" s="7" t="str">
        <f t="shared" ca="1" si="3"/>
        <v/>
      </c>
      <c r="W18" s="7" t="str">
        <f t="shared" ca="1" si="3"/>
        <v/>
      </c>
      <c r="X18" s="7" t="str">
        <f t="shared" ca="1" si="4"/>
        <v/>
      </c>
      <c r="Y18" s="45" t="str">
        <f t="shared" ca="1" si="4"/>
        <v/>
      </c>
      <c r="Z18" s="7" t="str">
        <f t="shared" ca="1" si="4"/>
        <v/>
      </c>
      <c r="AA18" s="104" t="str">
        <f t="shared" ca="1" si="4"/>
        <v/>
      </c>
      <c r="AB18" s="104" t="str">
        <f t="shared" ca="1" si="4"/>
        <v/>
      </c>
      <c r="AC18" s="7" t="str">
        <f t="shared" ca="1" si="4"/>
        <v/>
      </c>
      <c r="AD18" s="7" t="str">
        <f t="shared" ca="1" si="4"/>
        <v/>
      </c>
      <c r="AE18" s="7" t="str">
        <f t="shared" ca="1" si="4"/>
        <v/>
      </c>
      <c r="AF18" s="7" t="str">
        <f t="shared" ca="1" si="4"/>
        <v/>
      </c>
      <c r="AG18" s="7" t="str">
        <f t="shared" ca="1" si="4"/>
        <v/>
      </c>
      <c r="AH18" s="104" t="str">
        <f t="shared" ca="1" si="4"/>
        <v/>
      </c>
      <c r="AI18" s="104" t="str">
        <f t="shared" ca="1" si="4"/>
        <v/>
      </c>
      <c r="AJ18" s="7" t="str">
        <f t="shared" ca="1" si="4"/>
        <v/>
      </c>
      <c r="AK18" s="7" t="str">
        <f t="shared" ca="1" si="4"/>
        <v/>
      </c>
      <c r="AL18" s="7" t="str">
        <f t="shared" ca="1" si="4"/>
        <v/>
      </c>
      <c r="AM18" s="7" t="str">
        <f t="shared" ca="1" si="4"/>
        <v/>
      </c>
      <c r="AN18" s="7" t="str">
        <f t="shared" ca="1" si="5"/>
        <v/>
      </c>
      <c r="AO18" s="104" t="str">
        <f t="shared" ca="1" si="5"/>
        <v/>
      </c>
      <c r="AP18" s="104" t="str">
        <f t="shared" ca="1" si="5"/>
        <v/>
      </c>
      <c r="AQ18" s="7" t="str">
        <f t="shared" ca="1" si="5"/>
        <v/>
      </c>
      <c r="AR18" s="7" t="str">
        <f t="shared" ca="1" si="5"/>
        <v/>
      </c>
      <c r="AS18" s="7" t="str">
        <f t="shared" ca="1" si="5"/>
        <v/>
      </c>
      <c r="AT18" s="7" t="str">
        <f t="shared" ca="1" si="5"/>
        <v/>
      </c>
      <c r="AU18" s="7" t="str">
        <f t="shared" ca="1" si="5"/>
        <v/>
      </c>
      <c r="AV18" s="104" t="str">
        <f t="shared" ca="1" si="5"/>
        <v/>
      </c>
      <c r="AW18" s="104" t="str">
        <f t="shared" ca="1" si="5"/>
        <v/>
      </c>
      <c r="AX18" s="7" t="str">
        <f t="shared" ca="1" si="5"/>
        <v/>
      </c>
      <c r="AY18" s="7" t="str">
        <f t="shared" ca="1" si="5"/>
        <v/>
      </c>
      <c r="AZ18" s="7" t="str">
        <f t="shared" ca="1" si="5"/>
        <v/>
      </c>
      <c r="BA18" s="45" t="str">
        <f t="shared" ca="1" si="5"/>
        <v/>
      </c>
      <c r="BB18" s="101" t="str">
        <f t="shared" ca="1" si="5"/>
        <v/>
      </c>
      <c r="BC18" s="105" t="str">
        <f t="shared" ca="1" si="5"/>
        <v/>
      </c>
      <c r="BD18" s="105" t="str">
        <f t="shared" ca="1" si="6"/>
        <v/>
      </c>
      <c r="BE18" s="103" t="str">
        <f t="shared" ca="1" si="6"/>
        <v/>
      </c>
      <c r="BF18" s="7" t="str">
        <f t="shared" ca="1" si="6"/>
        <v/>
      </c>
      <c r="BG18" s="7" t="str">
        <f t="shared" ca="1" si="6"/>
        <v/>
      </c>
      <c r="BH18" s="7" t="str">
        <f t="shared" ca="1" si="6"/>
        <v/>
      </c>
      <c r="BI18" s="7" t="str">
        <f t="shared" ca="1" si="6"/>
        <v/>
      </c>
      <c r="BJ18" s="7" t="str">
        <f t="shared" ca="1" si="6"/>
        <v/>
      </c>
      <c r="BK18" s="7" t="str">
        <f t="shared" ca="1" si="6"/>
        <v/>
      </c>
    </row>
    <row r="19" spans="1:63" x14ac:dyDescent="0.3">
      <c r="A19" s="57" t="s">
        <v>65</v>
      </c>
      <c r="B19" s="9" t="s">
        <v>3</v>
      </c>
      <c r="C19" s="9" t="s">
        <v>66</v>
      </c>
      <c r="D19" s="73">
        <v>0.5</v>
      </c>
      <c r="E19" s="83">
        <v>46044</v>
      </c>
      <c r="F19" s="10">
        <v>1</v>
      </c>
      <c r="G19" s="9"/>
      <c r="H19" s="7" t="str">
        <f t="shared" ca="1" si="7"/>
        <v/>
      </c>
      <c r="I19" s="7" t="str">
        <f t="shared" ca="1" si="3"/>
        <v/>
      </c>
      <c r="J19" s="7" t="str">
        <f t="shared" ca="1" si="3"/>
        <v/>
      </c>
      <c r="K19" s="7" t="str">
        <f t="shared" ca="1" si="3"/>
        <v/>
      </c>
      <c r="L19" s="7" t="str">
        <f t="shared" ca="1" si="3"/>
        <v/>
      </c>
      <c r="M19" s="7" t="str">
        <f t="shared" ca="1" si="3"/>
        <v/>
      </c>
      <c r="N19" s="7" t="str">
        <f t="shared" ca="1" si="3"/>
        <v/>
      </c>
      <c r="O19" s="7" t="str">
        <f t="shared" ca="1" si="3"/>
        <v/>
      </c>
      <c r="P19" s="7" t="str">
        <f t="shared" ca="1" si="3"/>
        <v/>
      </c>
      <c r="Q19" s="7" t="str">
        <f t="shared" ca="1" si="3"/>
        <v/>
      </c>
      <c r="R19" s="7" t="str">
        <f t="shared" ca="1" si="3"/>
        <v/>
      </c>
      <c r="S19" s="7" t="str">
        <f t="shared" ca="1" si="3"/>
        <v/>
      </c>
      <c r="T19" s="7" t="str">
        <f t="shared" ca="1" si="3"/>
        <v/>
      </c>
      <c r="U19" s="7" t="str">
        <f t="shared" ca="1" si="3"/>
        <v/>
      </c>
      <c r="V19" s="7" t="str">
        <f t="shared" ca="1" si="3"/>
        <v/>
      </c>
      <c r="W19" s="7" t="str">
        <f t="shared" ca="1" si="3"/>
        <v/>
      </c>
      <c r="X19" s="7" t="str">
        <f t="shared" ca="1" si="4"/>
        <v/>
      </c>
      <c r="Y19" s="45" t="str">
        <f t="shared" ca="1" si="4"/>
        <v/>
      </c>
      <c r="Z19" s="7" t="str">
        <f t="shared" ca="1" si="4"/>
        <v/>
      </c>
      <c r="AA19" s="104" t="str">
        <f t="shared" ca="1" si="4"/>
        <v/>
      </c>
      <c r="AB19" s="104" t="str">
        <f t="shared" ca="1" si="4"/>
        <v/>
      </c>
      <c r="AC19" s="7" t="str">
        <f t="shared" ca="1" si="4"/>
        <v/>
      </c>
      <c r="AD19" s="7" t="str">
        <f t="shared" ca="1" si="4"/>
        <v/>
      </c>
      <c r="AE19" s="7" t="str">
        <f t="shared" ca="1" si="4"/>
        <v/>
      </c>
      <c r="AF19" s="7" t="str">
        <f t="shared" ca="1" si="4"/>
        <v/>
      </c>
      <c r="AG19" s="7" t="str">
        <f t="shared" ca="1" si="4"/>
        <v/>
      </c>
      <c r="AH19" s="104" t="str">
        <f t="shared" ca="1" si="4"/>
        <v/>
      </c>
      <c r="AI19" s="104" t="str">
        <f t="shared" ca="1" si="4"/>
        <v/>
      </c>
      <c r="AJ19" s="7" t="str">
        <f t="shared" ca="1" si="4"/>
        <v/>
      </c>
      <c r="AK19" s="7" t="str">
        <f t="shared" ca="1" si="4"/>
        <v/>
      </c>
      <c r="AL19" s="7" t="str">
        <f t="shared" ca="1" si="4"/>
        <v/>
      </c>
      <c r="AM19" s="7" t="str">
        <f t="shared" ca="1" si="4"/>
        <v/>
      </c>
      <c r="AN19" s="7" t="str">
        <f t="shared" ca="1" si="5"/>
        <v/>
      </c>
      <c r="AO19" s="104" t="str">
        <f t="shared" ca="1" si="5"/>
        <v/>
      </c>
      <c r="AP19" s="104" t="str">
        <f t="shared" ca="1" si="5"/>
        <v/>
      </c>
      <c r="AQ19" s="7" t="str">
        <f t="shared" ca="1" si="5"/>
        <v/>
      </c>
      <c r="AR19" s="7" t="str">
        <f t="shared" ca="1" si="5"/>
        <v/>
      </c>
      <c r="AS19" s="7" t="str">
        <f t="shared" ca="1" si="5"/>
        <v/>
      </c>
      <c r="AT19" s="7" t="str">
        <f t="shared" ca="1" si="5"/>
        <v/>
      </c>
      <c r="AU19" s="7" t="str">
        <f t="shared" ca="1" si="5"/>
        <v/>
      </c>
      <c r="AV19" s="104" t="str">
        <f t="shared" ca="1" si="5"/>
        <v/>
      </c>
      <c r="AW19" s="104" t="str">
        <f t="shared" ca="1" si="5"/>
        <v/>
      </c>
      <c r="AX19" s="7" t="str">
        <f t="shared" ca="1" si="5"/>
        <v/>
      </c>
      <c r="AY19" s="7" t="str">
        <f t="shared" ca="1" si="5"/>
        <v/>
      </c>
      <c r="AZ19" s="7" t="str">
        <f t="shared" ca="1" si="5"/>
        <v/>
      </c>
      <c r="BA19" s="45" t="str">
        <f t="shared" ca="1" si="5"/>
        <v/>
      </c>
      <c r="BB19" s="101" t="str">
        <f t="shared" ca="1" si="5"/>
        <v/>
      </c>
      <c r="BC19" s="105" t="str">
        <f t="shared" ca="1" si="5"/>
        <v/>
      </c>
      <c r="BD19" s="105" t="str">
        <f t="shared" ca="1" si="6"/>
        <v/>
      </c>
      <c r="BE19" s="103" t="str">
        <f t="shared" ca="1" si="6"/>
        <v/>
      </c>
      <c r="BF19" s="7" t="str">
        <f t="shared" ca="1" si="6"/>
        <v/>
      </c>
      <c r="BG19" s="7" t="str">
        <f t="shared" ca="1" si="6"/>
        <v/>
      </c>
      <c r="BH19" s="7" t="str">
        <f t="shared" ca="1" si="6"/>
        <v/>
      </c>
      <c r="BI19" s="7" t="str">
        <f t="shared" ca="1" si="6"/>
        <v/>
      </c>
      <c r="BJ19" s="7" t="str">
        <f t="shared" ca="1" si="6"/>
        <v/>
      </c>
      <c r="BK19" s="7" t="str">
        <f t="shared" ca="1" si="6"/>
        <v/>
      </c>
    </row>
    <row r="20" spans="1:63" x14ac:dyDescent="0.3">
      <c r="A20" s="57" t="s">
        <v>59</v>
      </c>
      <c r="B20" s="9" t="s">
        <v>3</v>
      </c>
      <c r="C20" s="9" t="s">
        <v>66</v>
      </c>
      <c r="D20" s="73">
        <v>1</v>
      </c>
      <c r="E20" s="83">
        <v>46043</v>
      </c>
      <c r="F20" s="10">
        <v>2</v>
      </c>
      <c r="G20" s="9"/>
      <c r="H20" s="7" t="str">
        <f t="shared" ca="1" si="7"/>
        <v/>
      </c>
      <c r="I20" s="7" t="str">
        <f t="shared" ca="1" si="3"/>
        <v/>
      </c>
      <c r="J20" s="7" t="str">
        <f t="shared" ca="1" si="3"/>
        <v/>
      </c>
      <c r="K20" s="7" t="str">
        <f t="shared" ca="1" si="3"/>
        <v/>
      </c>
      <c r="L20" s="7" t="str">
        <f t="shared" ca="1" si="3"/>
        <v/>
      </c>
      <c r="M20" s="7" t="str">
        <f t="shared" ca="1" si="3"/>
        <v/>
      </c>
      <c r="N20" s="7" t="str">
        <f t="shared" ca="1" si="3"/>
        <v/>
      </c>
      <c r="O20" s="7" t="str">
        <f t="shared" ca="1" si="3"/>
        <v/>
      </c>
      <c r="P20" s="7" t="str">
        <f t="shared" ca="1" si="3"/>
        <v/>
      </c>
      <c r="Q20" s="7" t="str">
        <f t="shared" ca="1" si="3"/>
        <v/>
      </c>
      <c r="R20" s="7" t="str">
        <f t="shared" ca="1" si="3"/>
        <v/>
      </c>
      <c r="S20" s="7" t="str">
        <f t="shared" ca="1" si="3"/>
        <v/>
      </c>
      <c r="T20" s="7" t="str">
        <f t="shared" ca="1" si="3"/>
        <v/>
      </c>
      <c r="U20" s="7" t="str">
        <f t="shared" ca="1" si="3"/>
        <v/>
      </c>
      <c r="V20" s="7" t="str">
        <f t="shared" ca="1" si="3"/>
        <v/>
      </c>
      <c r="W20" s="7" t="str">
        <f t="shared" ca="1" si="3"/>
        <v/>
      </c>
      <c r="X20" s="7" t="str">
        <f t="shared" ca="1" si="4"/>
        <v/>
      </c>
      <c r="Y20" s="45" t="str">
        <f t="shared" ca="1" si="4"/>
        <v/>
      </c>
      <c r="Z20" s="7" t="str">
        <f t="shared" ca="1" si="4"/>
        <v/>
      </c>
      <c r="AA20" s="104" t="str">
        <f t="shared" ca="1" si="4"/>
        <v/>
      </c>
      <c r="AB20" s="104" t="str">
        <f t="shared" ca="1" si="4"/>
        <v/>
      </c>
      <c r="AC20" s="7" t="str">
        <f t="shared" ca="1" si="4"/>
        <v/>
      </c>
      <c r="AD20" s="7" t="str">
        <f t="shared" ca="1" si="4"/>
        <v/>
      </c>
      <c r="AE20" s="7" t="str">
        <f t="shared" ca="1" si="4"/>
        <v/>
      </c>
      <c r="AF20" s="7" t="str">
        <f t="shared" ca="1" si="4"/>
        <v/>
      </c>
      <c r="AG20" s="7" t="str">
        <f t="shared" ca="1" si="4"/>
        <v/>
      </c>
      <c r="AH20" s="104" t="str">
        <f t="shared" ca="1" si="4"/>
        <v/>
      </c>
      <c r="AI20" s="104" t="str">
        <f t="shared" ca="1" si="4"/>
        <v/>
      </c>
      <c r="AJ20" s="7" t="str">
        <f t="shared" ca="1" si="4"/>
        <v/>
      </c>
      <c r="AK20" s="7" t="str">
        <f t="shared" ca="1" si="4"/>
        <v/>
      </c>
      <c r="AL20" s="7" t="str">
        <f t="shared" ca="1" si="4"/>
        <v/>
      </c>
      <c r="AM20" s="7" t="str">
        <f t="shared" ref="AM20:AM26" ca="1" si="8">IF(AND($B20="Goal",AM$4&gt;=$E20,AM$4&lt;=$E20+$F20-1),2,IF(AND($B20="Milestone",AM$4&gt;=$E20,AM$4&lt;=$E20+$F20-1),1,""))</f>
        <v/>
      </c>
      <c r="AN20" s="7" t="str">
        <f t="shared" ca="1" si="5"/>
        <v/>
      </c>
      <c r="AO20" s="104" t="str">
        <f t="shared" ca="1" si="5"/>
        <v/>
      </c>
      <c r="AP20" s="104" t="str">
        <f t="shared" ca="1" si="5"/>
        <v/>
      </c>
      <c r="AQ20" s="7" t="str">
        <f t="shared" ca="1" si="5"/>
        <v/>
      </c>
      <c r="AR20" s="7" t="str">
        <f t="shared" ca="1" si="5"/>
        <v/>
      </c>
      <c r="AS20" s="7" t="str">
        <f t="shared" ca="1" si="5"/>
        <v/>
      </c>
      <c r="AT20" s="7" t="str">
        <f t="shared" ca="1" si="5"/>
        <v/>
      </c>
      <c r="AU20" s="7" t="str">
        <f t="shared" ca="1" si="5"/>
        <v/>
      </c>
      <c r="AV20" s="104" t="str">
        <f t="shared" ca="1" si="5"/>
        <v/>
      </c>
      <c r="AW20" s="104" t="str">
        <f t="shared" ca="1" si="5"/>
        <v/>
      </c>
      <c r="AX20" s="7" t="str">
        <f t="shared" ca="1" si="5"/>
        <v/>
      </c>
      <c r="AY20" s="7" t="str">
        <f t="shared" ca="1" si="5"/>
        <v/>
      </c>
      <c r="AZ20" s="7" t="str">
        <f t="shared" ca="1" si="5"/>
        <v/>
      </c>
      <c r="BA20" s="45" t="str">
        <f t="shared" ca="1" si="5"/>
        <v/>
      </c>
      <c r="BB20" s="101" t="str">
        <f t="shared" ca="1" si="5"/>
        <v/>
      </c>
      <c r="BC20" s="105" t="str">
        <f t="shared" ref="BC20:BC26" ca="1" si="9">IF(AND($B20="Goal",BC$4&gt;=$E20,BC$4&lt;=$E20+$F20-1),2,IF(AND($B20="Milestone",BC$4&gt;=$E20,BC$4&lt;=$E20+$F20-1),1,""))</f>
        <v/>
      </c>
      <c r="BD20" s="105" t="str">
        <f t="shared" ca="1" si="6"/>
        <v/>
      </c>
      <c r="BE20" s="103" t="str">
        <f t="shared" ca="1" si="6"/>
        <v/>
      </c>
      <c r="BF20" s="7" t="str">
        <f t="shared" ca="1" si="6"/>
        <v/>
      </c>
      <c r="BG20" s="7" t="str">
        <f t="shared" ca="1" si="6"/>
        <v/>
      </c>
      <c r="BH20" s="7" t="str">
        <f t="shared" ca="1" si="6"/>
        <v/>
      </c>
      <c r="BI20" s="7" t="str">
        <f t="shared" ca="1" si="6"/>
        <v/>
      </c>
      <c r="BJ20" s="7" t="str">
        <f t="shared" ca="1" si="6"/>
        <v/>
      </c>
      <c r="BK20" s="7" t="str">
        <f t="shared" ca="1" si="6"/>
        <v/>
      </c>
    </row>
    <row r="21" spans="1:63" x14ac:dyDescent="0.3">
      <c r="A21" s="58" t="s">
        <v>28</v>
      </c>
      <c r="B21" s="9" t="s">
        <v>1</v>
      </c>
      <c r="C21" s="9"/>
      <c r="D21" s="73">
        <v>0.15</v>
      </c>
      <c r="E21" s="83">
        <v>46051</v>
      </c>
      <c r="F21" s="10">
        <v>3</v>
      </c>
      <c r="G21" s="9"/>
      <c r="H21" s="7" t="str">
        <f t="shared" ca="1" si="7"/>
        <v/>
      </c>
      <c r="I21" s="7" t="str">
        <f t="shared" ref="I21:R26" ca="1" si="10">IF(AND($B21="Goal",I$4&gt;=$E21,I$4&lt;=$E21+$F21-1),2,IF(AND($B21="Milestone",I$4&gt;=$E21,I$4&lt;=$E21+$F21-1),1,""))</f>
        <v/>
      </c>
      <c r="J21" s="7" t="str">
        <f t="shared" ca="1" si="10"/>
        <v/>
      </c>
      <c r="K21" s="7" t="str">
        <f t="shared" ca="1" si="10"/>
        <v/>
      </c>
      <c r="L21" s="7" t="str">
        <f t="shared" ca="1" si="10"/>
        <v/>
      </c>
      <c r="M21" s="7" t="str">
        <f t="shared" ca="1" si="10"/>
        <v/>
      </c>
      <c r="N21" s="7" t="str">
        <f t="shared" ca="1" si="10"/>
        <v/>
      </c>
      <c r="O21" s="7" t="str">
        <f t="shared" ca="1" si="10"/>
        <v/>
      </c>
      <c r="P21" s="7" t="str">
        <f t="shared" ca="1" si="10"/>
        <v/>
      </c>
      <c r="Q21" s="7" t="str">
        <f t="shared" ca="1" si="10"/>
        <v/>
      </c>
      <c r="R21" s="7" t="str">
        <f t="shared" ca="1" si="10"/>
        <v/>
      </c>
      <c r="S21" s="7" t="str">
        <f t="shared" ref="S21:AB26" ca="1" si="11">IF(AND($B21="Goal",S$4&gt;=$E21,S$4&lt;=$E21+$F21-1),2,IF(AND($B21="Milestone",S$4&gt;=$E21,S$4&lt;=$E21+$F21-1),1,""))</f>
        <v/>
      </c>
      <c r="T21" s="7" t="str">
        <f t="shared" ca="1" si="11"/>
        <v/>
      </c>
      <c r="U21" s="7" t="str">
        <f t="shared" ca="1" si="11"/>
        <v/>
      </c>
      <c r="V21" s="7" t="str">
        <f t="shared" ca="1" si="11"/>
        <v/>
      </c>
      <c r="W21" s="7" t="str">
        <f t="shared" ca="1" si="11"/>
        <v/>
      </c>
      <c r="X21" s="7" t="str">
        <f t="shared" ca="1" si="11"/>
        <v/>
      </c>
      <c r="Y21" s="45">
        <f t="shared" ca="1" si="11"/>
        <v>1</v>
      </c>
      <c r="Z21" s="7">
        <f t="shared" ca="1" si="11"/>
        <v>1</v>
      </c>
      <c r="AA21" s="104">
        <f t="shared" ca="1" si="11"/>
        <v>1</v>
      </c>
      <c r="AB21" s="104" t="str">
        <f t="shared" ca="1" si="11"/>
        <v/>
      </c>
      <c r="AC21" s="7" t="str">
        <f t="shared" ref="AC21:AL26" ca="1" si="12">IF(AND($B21="Goal",AC$4&gt;=$E21,AC$4&lt;=$E21+$F21-1),2,IF(AND($B21="Milestone",AC$4&gt;=$E21,AC$4&lt;=$E21+$F21-1),1,""))</f>
        <v/>
      </c>
      <c r="AD21" s="7" t="str">
        <f t="shared" ca="1" si="12"/>
        <v/>
      </c>
      <c r="AE21" s="7" t="str">
        <f t="shared" ca="1" si="12"/>
        <v/>
      </c>
      <c r="AF21" s="7" t="str">
        <f t="shared" ca="1" si="12"/>
        <v/>
      </c>
      <c r="AG21" s="7" t="str">
        <f t="shared" ca="1" si="12"/>
        <v/>
      </c>
      <c r="AH21" s="104" t="str">
        <f t="shared" ca="1" si="12"/>
        <v/>
      </c>
      <c r="AI21" s="104" t="str">
        <f t="shared" ca="1" si="12"/>
        <v/>
      </c>
      <c r="AJ21" s="7" t="str">
        <f t="shared" ca="1" si="12"/>
        <v/>
      </c>
      <c r="AK21" s="7" t="str">
        <f t="shared" ca="1" si="12"/>
        <v/>
      </c>
      <c r="AL21" s="7" t="str">
        <f t="shared" ca="1" si="12"/>
        <v/>
      </c>
      <c r="AM21" s="7" t="str">
        <f t="shared" ca="1" si="8"/>
        <v/>
      </c>
      <c r="AN21" s="7" t="str">
        <f t="shared" ref="AN21:BB26" ca="1" si="13">IF(AND($B21="Goal",AN$4&gt;=$E21,AN$4&lt;=$E21+$F21-1),2,IF(AND($B21="Milestone",AN$4&gt;=$E21,AN$4&lt;=$E21+$F21-1),1,""))</f>
        <v/>
      </c>
      <c r="AO21" s="104" t="str">
        <f t="shared" ca="1" si="13"/>
        <v/>
      </c>
      <c r="AP21" s="104" t="str">
        <f t="shared" ca="1" si="13"/>
        <v/>
      </c>
      <c r="AQ21" s="7" t="str">
        <f t="shared" ca="1" si="13"/>
        <v/>
      </c>
      <c r="AR21" s="7" t="str">
        <f t="shared" ca="1" si="13"/>
        <v/>
      </c>
      <c r="AS21" s="7" t="str">
        <f t="shared" ca="1" si="13"/>
        <v/>
      </c>
      <c r="AT21" s="7" t="str">
        <f t="shared" ca="1" si="13"/>
        <v/>
      </c>
      <c r="AU21" s="7" t="str">
        <f t="shared" ca="1" si="13"/>
        <v/>
      </c>
      <c r="AV21" s="104" t="str">
        <f t="shared" ca="1" si="13"/>
        <v/>
      </c>
      <c r="AW21" s="104" t="str">
        <f t="shared" ca="1" si="13"/>
        <v/>
      </c>
      <c r="AX21" s="7" t="str">
        <f t="shared" ca="1" si="13"/>
        <v/>
      </c>
      <c r="AY21" s="7" t="str">
        <f t="shared" ca="1" si="13"/>
        <v/>
      </c>
      <c r="AZ21" s="7" t="str">
        <f t="shared" ca="1" si="13"/>
        <v/>
      </c>
      <c r="BA21" s="45" t="str">
        <f t="shared" ca="1" si="13"/>
        <v/>
      </c>
      <c r="BB21" s="101" t="str">
        <f t="shared" ca="1" si="13"/>
        <v/>
      </c>
      <c r="BC21" s="105" t="str">
        <f t="shared" ca="1" si="9"/>
        <v/>
      </c>
      <c r="BD21" s="105" t="str">
        <f t="shared" ref="BD21:BK26" ca="1" si="14">IF(AND($B21="Goal",BD$4&gt;=$E21,BD$4&lt;=$E21+$F21-1),2,IF(AND($B21="Milestone",BD$4&gt;=$E21,BD$4&lt;=$E21+$F21-1),1,""))</f>
        <v/>
      </c>
      <c r="BE21" s="103" t="str">
        <f t="shared" ca="1" si="14"/>
        <v/>
      </c>
      <c r="BF21" s="7" t="str">
        <f t="shared" ca="1" si="14"/>
        <v/>
      </c>
      <c r="BG21" s="7" t="str">
        <f t="shared" ca="1" si="14"/>
        <v/>
      </c>
      <c r="BH21" s="7" t="str">
        <f t="shared" ca="1" si="14"/>
        <v/>
      </c>
      <c r="BI21" s="7" t="str">
        <f t="shared" ca="1" si="14"/>
        <v/>
      </c>
      <c r="BJ21" s="7" t="str">
        <f t="shared" ca="1" si="14"/>
        <v/>
      </c>
      <c r="BK21" s="7" t="str">
        <f t="shared" ca="1" si="14"/>
        <v/>
      </c>
    </row>
    <row r="22" spans="1:63" x14ac:dyDescent="0.3">
      <c r="A22" s="63" t="s">
        <v>45</v>
      </c>
      <c r="B22" s="38"/>
      <c r="C22" s="38"/>
      <c r="D22" s="76"/>
      <c r="E22" s="86"/>
      <c r="F22" s="64"/>
      <c r="G22" s="9"/>
      <c r="H22" s="7" t="str">
        <f t="shared" ca="1" si="7"/>
        <v/>
      </c>
      <c r="I22" s="7" t="str">
        <f t="shared" ca="1" si="10"/>
        <v/>
      </c>
      <c r="J22" s="7" t="str">
        <f t="shared" ca="1" si="10"/>
        <v/>
      </c>
      <c r="K22" s="7" t="str">
        <f t="shared" ca="1" si="10"/>
        <v/>
      </c>
      <c r="L22" s="7" t="str">
        <f t="shared" ca="1" si="10"/>
        <v/>
      </c>
      <c r="M22" s="7" t="str">
        <f t="shared" ca="1" si="10"/>
        <v/>
      </c>
      <c r="N22" s="7" t="str">
        <f t="shared" ca="1" si="10"/>
        <v/>
      </c>
      <c r="O22" s="7" t="str">
        <f t="shared" ca="1" si="10"/>
        <v/>
      </c>
      <c r="P22" s="7" t="str">
        <f t="shared" ca="1" si="10"/>
        <v/>
      </c>
      <c r="Q22" s="7" t="str">
        <f t="shared" ca="1" si="10"/>
        <v/>
      </c>
      <c r="R22" s="7" t="str">
        <f t="shared" ca="1" si="10"/>
        <v/>
      </c>
      <c r="S22" s="7" t="str">
        <f t="shared" ca="1" si="11"/>
        <v/>
      </c>
      <c r="T22" s="7" t="str">
        <f t="shared" ca="1" si="11"/>
        <v/>
      </c>
      <c r="U22" s="7" t="str">
        <f t="shared" ca="1" si="11"/>
        <v/>
      </c>
      <c r="V22" s="7" t="str">
        <f t="shared" ca="1" si="11"/>
        <v/>
      </c>
      <c r="W22" s="7" t="str">
        <f t="shared" ca="1" si="11"/>
        <v/>
      </c>
      <c r="X22" s="7" t="str">
        <f t="shared" ca="1" si="11"/>
        <v/>
      </c>
      <c r="Y22" s="7" t="str">
        <f t="shared" ca="1" si="11"/>
        <v/>
      </c>
      <c r="Z22" s="7" t="str">
        <f t="shared" ca="1" si="11"/>
        <v/>
      </c>
      <c r="AA22" s="104" t="str">
        <f t="shared" ca="1" si="11"/>
        <v/>
      </c>
      <c r="AB22" s="104" t="str">
        <f t="shared" ca="1" si="11"/>
        <v/>
      </c>
      <c r="AC22" s="7" t="str">
        <f t="shared" ca="1" si="12"/>
        <v/>
      </c>
      <c r="AD22" s="7" t="str">
        <f t="shared" ca="1" si="12"/>
        <v/>
      </c>
      <c r="AE22" s="7" t="str">
        <f t="shared" ca="1" si="12"/>
        <v/>
      </c>
      <c r="AF22" s="7" t="str">
        <f t="shared" ca="1" si="12"/>
        <v/>
      </c>
      <c r="AG22" s="7" t="str">
        <f t="shared" ca="1" si="12"/>
        <v/>
      </c>
      <c r="AH22" s="104" t="str">
        <f t="shared" ca="1" si="12"/>
        <v/>
      </c>
      <c r="AI22" s="104" t="str">
        <f t="shared" ca="1" si="12"/>
        <v/>
      </c>
      <c r="AJ22" s="7" t="str">
        <f t="shared" ca="1" si="12"/>
        <v/>
      </c>
      <c r="AK22" s="7" t="str">
        <f t="shared" ca="1" si="12"/>
        <v/>
      </c>
      <c r="AL22" s="7" t="str">
        <f t="shared" ca="1" si="12"/>
        <v/>
      </c>
      <c r="AM22" s="7" t="str">
        <f t="shared" ca="1" si="8"/>
        <v/>
      </c>
      <c r="AN22" s="7" t="str">
        <f t="shared" ca="1" si="13"/>
        <v/>
      </c>
      <c r="AO22" s="104" t="str">
        <f t="shared" ca="1" si="13"/>
        <v/>
      </c>
      <c r="AP22" s="104" t="str">
        <f t="shared" ca="1" si="13"/>
        <v/>
      </c>
      <c r="AQ22" s="7" t="str">
        <f t="shared" ca="1" si="13"/>
        <v/>
      </c>
      <c r="AR22" s="7" t="str">
        <f t="shared" ca="1" si="13"/>
        <v/>
      </c>
      <c r="AS22" s="7" t="str">
        <f t="shared" ca="1" si="13"/>
        <v/>
      </c>
      <c r="AT22" s="7" t="str">
        <f t="shared" ca="1" si="13"/>
        <v/>
      </c>
      <c r="AU22" s="7" t="str">
        <f t="shared" ca="1" si="13"/>
        <v/>
      </c>
      <c r="AV22" s="104" t="str">
        <f t="shared" ca="1" si="13"/>
        <v/>
      </c>
      <c r="AW22" s="104" t="str">
        <f t="shared" ca="1" si="13"/>
        <v/>
      </c>
      <c r="AX22" s="7" t="str">
        <f t="shared" ca="1" si="13"/>
        <v/>
      </c>
      <c r="AY22" s="7" t="str">
        <f t="shared" ca="1" si="13"/>
        <v/>
      </c>
      <c r="AZ22" s="7" t="str">
        <f t="shared" ca="1" si="13"/>
        <v/>
      </c>
      <c r="BA22" s="45" t="str">
        <f t="shared" ca="1" si="13"/>
        <v/>
      </c>
      <c r="BB22" s="101" t="str">
        <f t="shared" ca="1" si="13"/>
        <v/>
      </c>
      <c r="BC22" s="105" t="str">
        <f t="shared" ca="1" si="9"/>
        <v/>
      </c>
      <c r="BD22" s="105" t="str">
        <f t="shared" ca="1" si="14"/>
        <v/>
      </c>
      <c r="BE22" s="103" t="str">
        <f t="shared" ca="1" si="14"/>
        <v/>
      </c>
      <c r="BF22" s="7" t="str">
        <f t="shared" ca="1" si="14"/>
        <v/>
      </c>
      <c r="BG22" s="7" t="str">
        <f t="shared" ca="1" si="14"/>
        <v/>
      </c>
      <c r="BH22" s="7" t="str">
        <f t="shared" ca="1" si="14"/>
        <v/>
      </c>
      <c r="BI22" s="7" t="str">
        <f t="shared" ca="1" si="14"/>
        <v/>
      </c>
      <c r="BJ22" s="7" t="str">
        <f t="shared" ca="1" si="14"/>
        <v/>
      </c>
      <c r="BK22" s="7" t="str">
        <f t="shared" ca="1" si="14"/>
        <v/>
      </c>
    </row>
    <row r="23" spans="1:63" x14ac:dyDescent="0.3">
      <c r="A23" s="57" t="s">
        <v>29</v>
      </c>
      <c r="B23" s="9"/>
      <c r="C23" s="9"/>
      <c r="D23" s="73">
        <v>0</v>
      </c>
      <c r="E23" s="83">
        <v>46055</v>
      </c>
      <c r="F23" s="10">
        <v>1</v>
      </c>
      <c r="G23" s="9"/>
      <c r="H23" s="7" t="str">
        <f t="shared" ca="1" si="7"/>
        <v/>
      </c>
      <c r="I23" s="7" t="str">
        <f t="shared" ca="1" si="10"/>
        <v/>
      </c>
      <c r="J23" s="7" t="str">
        <f t="shared" ca="1" si="10"/>
        <v/>
      </c>
      <c r="K23" s="7" t="str">
        <f t="shared" ca="1" si="10"/>
        <v/>
      </c>
      <c r="L23" s="7" t="str">
        <f t="shared" ca="1" si="10"/>
        <v/>
      </c>
      <c r="M23" s="7" t="str">
        <f t="shared" ca="1" si="10"/>
        <v/>
      </c>
      <c r="N23" s="7" t="str">
        <f t="shared" ca="1" si="10"/>
        <v/>
      </c>
      <c r="O23" s="7" t="str">
        <f t="shared" ca="1" si="10"/>
        <v/>
      </c>
      <c r="P23" s="7" t="str">
        <f t="shared" ca="1" si="10"/>
        <v/>
      </c>
      <c r="Q23" s="7" t="str">
        <f t="shared" ca="1" si="10"/>
        <v/>
      </c>
      <c r="R23" s="7" t="str">
        <f t="shared" ca="1" si="10"/>
        <v/>
      </c>
      <c r="S23" s="7" t="str">
        <f t="shared" ca="1" si="11"/>
        <v/>
      </c>
      <c r="T23" s="7" t="str">
        <f t="shared" ca="1" si="11"/>
        <v/>
      </c>
      <c r="U23" s="7" t="str">
        <f t="shared" ca="1" si="11"/>
        <v/>
      </c>
      <c r="V23" s="7" t="str">
        <f t="shared" ca="1" si="11"/>
        <v/>
      </c>
      <c r="W23" s="7" t="str">
        <f t="shared" ca="1" si="11"/>
        <v/>
      </c>
      <c r="X23" s="7" t="str">
        <f t="shared" ca="1" si="11"/>
        <v/>
      </c>
      <c r="Y23" s="7" t="str">
        <f t="shared" ca="1" si="11"/>
        <v/>
      </c>
      <c r="Z23" s="7" t="str">
        <f t="shared" ca="1" si="11"/>
        <v/>
      </c>
      <c r="AA23" s="7" t="str">
        <f t="shared" ca="1" si="11"/>
        <v/>
      </c>
      <c r="AB23" s="7" t="str">
        <f t="shared" ca="1" si="11"/>
        <v/>
      </c>
      <c r="AC23" s="7" t="str">
        <f t="shared" ca="1" si="12"/>
        <v/>
      </c>
      <c r="AD23" s="7" t="str">
        <f t="shared" ca="1" si="12"/>
        <v/>
      </c>
      <c r="AE23" s="7" t="str">
        <f t="shared" ca="1" si="12"/>
        <v/>
      </c>
      <c r="AF23" s="7" t="str">
        <f t="shared" ca="1" si="12"/>
        <v/>
      </c>
      <c r="AG23" s="7" t="str">
        <f t="shared" ca="1" si="12"/>
        <v/>
      </c>
      <c r="AH23" s="104" t="str">
        <f t="shared" ca="1" si="12"/>
        <v/>
      </c>
      <c r="AI23" s="104" t="str">
        <f t="shared" ca="1" si="12"/>
        <v/>
      </c>
      <c r="AJ23" s="7" t="str">
        <f t="shared" ca="1" si="12"/>
        <v/>
      </c>
      <c r="AK23" s="7" t="str">
        <f t="shared" ca="1" si="12"/>
        <v/>
      </c>
      <c r="AL23" s="7" t="str">
        <f t="shared" ca="1" si="12"/>
        <v/>
      </c>
      <c r="AM23" s="45" t="str">
        <f t="shared" ca="1" si="8"/>
        <v/>
      </c>
      <c r="AN23" s="7" t="str">
        <f t="shared" ca="1" si="13"/>
        <v/>
      </c>
      <c r="AO23" s="104" t="str">
        <f t="shared" ca="1" si="13"/>
        <v/>
      </c>
      <c r="AP23" s="104" t="str">
        <f t="shared" ca="1" si="13"/>
        <v/>
      </c>
      <c r="AQ23" s="7" t="str">
        <f t="shared" ca="1" si="13"/>
        <v/>
      </c>
      <c r="AR23" s="7" t="str">
        <f t="shared" ca="1" si="13"/>
        <v/>
      </c>
      <c r="AS23" s="7" t="str">
        <f t="shared" ca="1" si="13"/>
        <v/>
      </c>
      <c r="AT23" s="7" t="str">
        <f t="shared" ca="1" si="13"/>
        <v/>
      </c>
      <c r="AU23" s="7" t="str">
        <f t="shared" ca="1" si="13"/>
        <v/>
      </c>
      <c r="AV23" s="104" t="str">
        <f t="shared" ca="1" si="13"/>
        <v/>
      </c>
      <c r="AW23" s="104" t="str">
        <f t="shared" ca="1" si="13"/>
        <v/>
      </c>
      <c r="AX23" s="7" t="str">
        <f t="shared" ca="1" si="13"/>
        <v/>
      </c>
      <c r="AY23" s="7" t="str">
        <f t="shared" ca="1" si="13"/>
        <v/>
      </c>
      <c r="AZ23" s="7" t="str">
        <f t="shared" ca="1" si="13"/>
        <v/>
      </c>
      <c r="BA23" s="45" t="str">
        <f t="shared" ca="1" si="13"/>
        <v/>
      </c>
      <c r="BB23" s="101" t="str">
        <f t="shared" ca="1" si="13"/>
        <v/>
      </c>
      <c r="BC23" s="105" t="str">
        <f t="shared" ca="1" si="9"/>
        <v/>
      </c>
      <c r="BD23" s="105" t="str">
        <f t="shared" ca="1" si="14"/>
        <v/>
      </c>
      <c r="BE23" s="103" t="str">
        <f t="shared" ca="1" si="14"/>
        <v/>
      </c>
      <c r="BF23" s="7" t="str">
        <f t="shared" ca="1" si="14"/>
        <v/>
      </c>
      <c r="BG23" s="7" t="str">
        <f t="shared" ca="1" si="14"/>
        <v/>
      </c>
      <c r="BH23" s="7" t="str">
        <f t="shared" ca="1" si="14"/>
        <v/>
      </c>
      <c r="BI23" s="7" t="str">
        <f t="shared" ca="1" si="14"/>
        <v/>
      </c>
      <c r="BJ23" s="7" t="str">
        <f t="shared" ca="1" si="14"/>
        <v/>
      </c>
      <c r="BK23" s="7" t="str">
        <f t="shared" ca="1" si="14"/>
        <v/>
      </c>
    </row>
    <row r="24" spans="1:63" x14ac:dyDescent="0.3">
      <c r="A24" s="57" t="s">
        <v>30</v>
      </c>
      <c r="B24" s="9"/>
      <c r="C24" s="9"/>
      <c r="D24" s="73">
        <v>0</v>
      </c>
      <c r="E24" s="83">
        <v>46056</v>
      </c>
      <c r="F24" s="10">
        <v>1</v>
      </c>
      <c r="G24" s="9"/>
      <c r="H24" s="7" t="str">
        <f t="shared" ca="1" si="7"/>
        <v/>
      </c>
      <c r="I24" s="7" t="str">
        <f t="shared" ca="1" si="10"/>
        <v/>
      </c>
      <c r="J24" s="7" t="str">
        <f t="shared" ca="1" si="10"/>
        <v/>
      </c>
      <c r="K24" s="7" t="str">
        <f t="shared" ca="1" si="10"/>
        <v/>
      </c>
      <c r="L24" s="7" t="str">
        <f t="shared" ca="1" si="10"/>
        <v/>
      </c>
      <c r="M24" s="7" t="str">
        <f t="shared" ca="1" si="10"/>
        <v/>
      </c>
      <c r="N24" s="7" t="str">
        <f t="shared" ca="1" si="10"/>
        <v/>
      </c>
      <c r="O24" s="7" t="str">
        <f t="shared" ca="1" si="10"/>
        <v/>
      </c>
      <c r="P24" s="7" t="str">
        <f t="shared" ca="1" si="10"/>
        <v/>
      </c>
      <c r="Q24" s="7" t="str">
        <f t="shared" ca="1" si="10"/>
        <v/>
      </c>
      <c r="R24" s="7" t="str">
        <f t="shared" ca="1" si="10"/>
        <v/>
      </c>
      <c r="S24" s="7" t="str">
        <f t="shared" ca="1" si="11"/>
        <v/>
      </c>
      <c r="T24" s="7" t="str">
        <f t="shared" ca="1" si="11"/>
        <v/>
      </c>
      <c r="U24" s="7" t="str">
        <f t="shared" ca="1" si="11"/>
        <v/>
      </c>
      <c r="V24" s="7" t="str">
        <f t="shared" ca="1" si="11"/>
        <v/>
      </c>
      <c r="W24" s="7" t="str">
        <f t="shared" ca="1" si="11"/>
        <v/>
      </c>
      <c r="X24" s="7" t="str">
        <f t="shared" ca="1" si="11"/>
        <v/>
      </c>
      <c r="Y24" s="7" t="str">
        <f t="shared" ca="1" si="11"/>
        <v/>
      </c>
      <c r="Z24" s="7" t="str">
        <f t="shared" ca="1" si="11"/>
        <v/>
      </c>
      <c r="AA24" s="7" t="str">
        <f t="shared" ca="1" si="11"/>
        <v/>
      </c>
      <c r="AB24" s="7" t="str">
        <f t="shared" ca="1" si="11"/>
        <v/>
      </c>
      <c r="AC24" s="7" t="str">
        <f t="shared" ca="1" si="12"/>
        <v/>
      </c>
      <c r="AD24" s="7" t="str">
        <f t="shared" ca="1" si="12"/>
        <v/>
      </c>
      <c r="AE24" s="7" t="str">
        <f t="shared" ca="1" si="12"/>
        <v/>
      </c>
      <c r="AF24" s="7" t="str">
        <f t="shared" ca="1" si="12"/>
        <v/>
      </c>
      <c r="AG24" s="7" t="str">
        <f t="shared" ca="1" si="12"/>
        <v/>
      </c>
      <c r="AH24" s="104" t="str">
        <f t="shared" ca="1" si="12"/>
        <v/>
      </c>
      <c r="AI24" s="104" t="str">
        <f t="shared" ca="1" si="12"/>
        <v/>
      </c>
      <c r="AJ24" s="7" t="str">
        <f t="shared" ca="1" si="12"/>
        <v/>
      </c>
      <c r="AK24" s="7" t="str">
        <f t="shared" ca="1" si="12"/>
        <v/>
      </c>
      <c r="AL24" s="7" t="str">
        <f t="shared" ca="1" si="12"/>
        <v/>
      </c>
      <c r="AM24" s="45" t="str">
        <f t="shared" ca="1" si="8"/>
        <v/>
      </c>
      <c r="AN24" s="7" t="str">
        <f t="shared" ca="1" si="13"/>
        <v/>
      </c>
      <c r="AO24" s="104" t="str">
        <f t="shared" ca="1" si="13"/>
        <v/>
      </c>
      <c r="AP24" s="104" t="str">
        <f t="shared" ca="1" si="13"/>
        <v/>
      </c>
      <c r="AQ24" s="7" t="str">
        <f t="shared" ca="1" si="13"/>
        <v/>
      </c>
      <c r="AR24" s="7" t="str">
        <f t="shared" ca="1" si="13"/>
        <v/>
      </c>
      <c r="AS24" s="7" t="str">
        <f t="shared" ca="1" si="13"/>
        <v/>
      </c>
      <c r="AT24" s="7" t="str">
        <f t="shared" ca="1" si="13"/>
        <v/>
      </c>
      <c r="AU24" s="7" t="str">
        <f t="shared" ca="1" si="13"/>
        <v/>
      </c>
      <c r="AV24" s="104" t="str">
        <f t="shared" ca="1" si="13"/>
        <v/>
      </c>
      <c r="AW24" s="104" t="str">
        <f t="shared" ca="1" si="13"/>
        <v/>
      </c>
      <c r="AX24" s="7" t="str">
        <f t="shared" ca="1" si="13"/>
        <v/>
      </c>
      <c r="AY24" s="7" t="str">
        <f t="shared" ca="1" si="13"/>
        <v/>
      </c>
      <c r="AZ24" s="7" t="str">
        <f t="shared" ca="1" si="13"/>
        <v/>
      </c>
      <c r="BA24" s="45" t="str">
        <f t="shared" ca="1" si="13"/>
        <v/>
      </c>
      <c r="BB24" s="101" t="str">
        <f t="shared" ca="1" si="13"/>
        <v/>
      </c>
      <c r="BC24" s="105" t="str">
        <f t="shared" ca="1" si="9"/>
        <v/>
      </c>
      <c r="BD24" s="105" t="str">
        <f t="shared" ca="1" si="14"/>
        <v/>
      </c>
      <c r="BE24" s="103" t="str">
        <f t="shared" ca="1" si="14"/>
        <v/>
      </c>
      <c r="BF24" s="7" t="str">
        <f t="shared" ca="1" si="14"/>
        <v/>
      </c>
      <c r="BG24" s="7" t="str">
        <f t="shared" ca="1" si="14"/>
        <v/>
      </c>
      <c r="BH24" s="7" t="str">
        <f t="shared" ca="1" si="14"/>
        <v/>
      </c>
      <c r="BI24" s="7" t="str">
        <f t="shared" ca="1" si="14"/>
        <v/>
      </c>
      <c r="BJ24" s="7" t="str">
        <f t="shared" ca="1" si="14"/>
        <v/>
      </c>
      <c r="BK24" s="7" t="str">
        <f t="shared" ca="1" si="14"/>
        <v/>
      </c>
    </row>
    <row r="25" spans="1:63" x14ac:dyDescent="0.3">
      <c r="A25" s="57" t="s">
        <v>31</v>
      </c>
      <c r="B25" s="9"/>
      <c r="C25" s="9"/>
      <c r="D25" s="73">
        <v>0</v>
      </c>
      <c r="E25" s="83">
        <v>46057</v>
      </c>
      <c r="F25" s="10">
        <v>1</v>
      </c>
      <c r="G25" s="9"/>
      <c r="H25" s="7" t="str">
        <f t="shared" ca="1" si="7"/>
        <v/>
      </c>
      <c r="I25" s="7" t="str">
        <f t="shared" ca="1" si="10"/>
        <v/>
      </c>
      <c r="J25" s="7" t="str">
        <f t="shared" ca="1" si="10"/>
        <v/>
      </c>
      <c r="K25" s="7" t="str">
        <f t="shared" ca="1" si="10"/>
        <v/>
      </c>
      <c r="L25" s="7" t="str">
        <f t="shared" ca="1" si="10"/>
        <v/>
      </c>
      <c r="M25" s="7" t="str">
        <f t="shared" ca="1" si="10"/>
        <v/>
      </c>
      <c r="N25" s="7" t="str">
        <f t="shared" ca="1" si="10"/>
        <v/>
      </c>
      <c r="O25" s="7" t="str">
        <f t="shared" ca="1" si="10"/>
        <v/>
      </c>
      <c r="P25" s="7" t="str">
        <f t="shared" ca="1" si="10"/>
        <v/>
      </c>
      <c r="Q25" s="7" t="str">
        <f t="shared" ca="1" si="10"/>
        <v/>
      </c>
      <c r="R25" s="7" t="str">
        <f t="shared" ca="1" si="10"/>
        <v/>
      </c>
      <c r="S25" s="7" t="str">
        <f t="shared" ca="1" si="11"/>
        <v/>
      </c>
      <c r="T25" s="7" t="str">
        <f t="shared" ca="1" si="11"/>
        <v/>
      </c>
      <c r="U25" s="7" t="str">
        <f t="shared" ca="1" si="11"/>
        <v/>
      </c>
      <c r="V25" s="7" t="str">
        <f t="shared" ca="1" si="11"/>
        <v/>
      </c>
      <c r="W25" s="7" t="str">
        <f t="shared" ca="1" si="11"/>
        <v/>
      </c>
      <c r="X25" s="7" t="str">
        <f t="shared" ca="1" si="11"/>
        <v/>
      </c>
      <c r="Y25" s="7" t="str">
        <f t="shared" ca="1" si="11"/>
        <v/>
      </c>
      <c r="Z25" s="7" t="str">
        <f t="shared" ca="1" si="11"/>
        <v/>
      </c>
      <c r="AA25" s="7" t="str">
        <f t="shared" ca="1" si="11"/>
        <v/>
      </c>
      <c r="AB25" s="7" t="str">
        <f t="shared" ca="1" si="11"/>
        <v/>
      </c>
      <c r="AC25" s="7" t="str">
        <f t="shared" ca="1" si="12"/>
        <v/>
      </c>
      <c r="AD25" s="7" t="str">
        <f t="shared" ca="1" si="12"/>
        <v/>
      </c>
      <c r="AE25" s="7" t="str">
        <f t="shared" ca="1" si="12"/>
        <v/>
      </c>
      <c r="AF25" s="7" t="str">
        <f t="shared" ca="1" si="12"/>
        <v/>
      </c>
      <c r="AG25" s="7" t="str">
        <f t="shared" ca="1" si="12"/>
        <v/>
      </c>
      <c r="AH25" s="104" t="str">
        <f t="shared" ca="1" si="12"/>
        <v/>
      </c>
      <c r="AI25" s="104" t="str">
        <f t="shared" ca="1" si="12"/>
        <v/>
      </c>
      <c r="AJ25" s="7" t="str">
        <f t="shared" ca="1" si="12"/>
        <v/>
      </c>
      <c r="AK25" s="7" t="str">
        <f t="shared" ca="1" si="12"/>
        <v/>
      </c>
      <c r="AL25" s="7" t="str">
        <f t="shared" ca="1" si="12"/>
        <v/>
      </c>
      <c r="AM25" s="45" t="str">
        <f t="shared" ca="1" si="8"/>
        <v/>
      </c>
      <c r="AN25" s="7" t="str">
        <f t="shared" ca="1" si="13"/>
        <v/>
      </c>
      <c r="AO25" s="104" t="str">
        <f t="shared" ca="1" si="13"/>
        <v/>
      </c>
      <c r="AP25" s="104" t="str">
        <f t="shared" ca="1" si="13"/>
        <v/>
      </c>
      <c r="AQ25" s="7" t="str">
        <f t="shared" ca="1" si="13"/>
        <v/>
      </c>
      <c r="AR25" s="7" t="str">
        <f t="shared" ca="1" si="13"/>
        <v/>
      </c>
      <c r="AS25" s="7" t="str">
        <f t="shared" ca="1" si="13"/>
        <v/>
      </c>
      <c r="AT25" s="7" t="str">
        <f t="shared" ca="1" si="13"/>
        <v/>
      </c>
      <c r="AU25" s="7" t="str">
        <f t="shared" ca="1" si="13"/>
        <v/>
      </c>
      <c r="AV25" s="104" t="str">
        <f t="shared" ca="1" si="13"/>
        <v/>
      </c>
      <c r="AW25" s="104" t="str">
        <f t="shared" ca="1" si="13"/>
        <v/>
      </c>
      <c r="AX25" s="7" t="str">
        <f t="shared" ca="1" si="13"/>
        <v/>
      </c>
      <c r="AY25" s="7" t="str">
        <f t="shared" ca="1" si="13"/>
        <v/>
      </c>
      <c r="AZ25" s="7" t="str">
        <f t="shared" ca="1" si="13"/>
        <v/>
      </c>
      <c r="BA25" s="45" t="str">
        <f t="shared" ca="1" si="13"/>
        <v/>
      </c>
      <c r="BB25" s="101" t="str">
        <f t="shared" ca="1" si="13"/>
        <v/>
      </c>
      <c r="BC25" s="105" t="str">
        <f t="shared" ca="1" si="9"/>
        <v/>
      </c>
      <c r="BD25" s="105" t="str">
        <f t="shared" ca="1" si="14"/>
        <v/>
      </c>
      <c r="BE25" s="103" t="str">
        <f t="shared" ca="1" si="14"/>
        <v/>
      </c>
      <c r="BF25" s="7" t="str">
        <f t="shared" ca="1" si="14"/>
        <v/>
      </c>
      <c r="BG25" s="7" t="str">
        <f t="shared" ca="1" si="14"/>
        <v/>
      </c>
      <c r="BH25" s="7" t="str">
        <f t="shared" ca="1" si="14"/>
        <v/>
      </c>
      <c r="BI25" s="7" t="str">
        <f t="shared" ca="1" si="14"/>
        <v/>
      </c>
      <c r="BJ25" s="7" t="str">
        <f t="shared" ca="1" si="14"/>
        <v/>
      </c>
      <c r="BK25" s="7" t="str">
        <f t="shared" ca="1" si="14"/>
        <v/>
      </c>
    </row>
    <row r="26" spans="1:63" x14ac:dyDescent="0.3">
      <c r="A26" s="57" t="s">
        <v>32</v>
      </c>
      <c r="B26" s="9"/>
      <c r="C26" s="9"/>
      <c r="D26" s="73">
        <v>0</v>
      </c>
      <c r="E26" s="83">
        <v>46058</v>
      </c>
      <c r="F26" s="10">
        <v>1</v>
      </c>
      <c r="G26" s="9"/>
      <c r="H26" s="7" t="str">
        <f t="shared" ca="1" si="7"/>
        <v/>
      </c>
      <c r="I26" s="7" t="str">
        <f t="shared" ca="1" si="10"/>
        <v/>
      </c>
      <c r="J26" s="7" t="str">
        <f t="shared" ca="1" si="10"/>
        <v/>
      </c>
      <c r="K26" s="7" t="str">
        <f t="shared" ca="1" si="10"/>
        <v/>
      </c>
      <c r="L26" s="7" t="str">
        <f t="shared" ca="1" si="10"/>
        <v/>
      </c>
      <c r="M26" s="7" t="str">
        <f t="shared" ca="1" si="10"/>
        <v/>
      </c>
      <c r="N26" s="7" t="str">
        <f t="shared" ca="1" si="10"/>
        <v/>
      </c>
      <c r="O26" s="7" t="str">
        <f t="shared" ca="1" si="10"/>
        <v/>
      </c>
      <c r="P26" s="7" t="str">
        <f t="shared" ca="1" si="10"/>
        <v/>
      </c>
      <c r="Q26" s="7" t="str">
        <f t="shared" ca="1" si="10"/>
        <v/>
      </c>
      <c r="R26" s="7" t="str">
        <f t="shared" ca="1" si="10"/>
        <v/>
      </c>
      <c r="S26" s="7" t="str">
        <f t="shared" ca="1" si="11"/>
        <v/>
      </c>
      <c r="T26" s="7" t="str">
        <f t="shared" ca="1" si="11"/>
        <v/>
      </c>
      <c r="U26" s="7" t="str">
        <f t="shared" ca="1" si="11"/>
        <v/>
      </c>
      <c r="V26" s="7" t="str">
        <f t="shared" ca="1" si="11"/>
        <v/>
      </c>
      <c r="W26" s="7" t="str">
        <f t="shared" ca="1" si="11"/>
        <v/>
      </c>
      <c r="X26" s="7" t="str">
        <f t="shared" ca="1" si="11"/>
        <v/>
      </c>
      <c r="Y26" s="7" t="str">
        <f t="shared" ca="1" si="11"/>
        <v/>
      </c>
      <c r="Z26" s="7" t="str">
        <f t="shared" ca="1" si="11"/>
        <v/>
      </c>
      <c r="AA26" s="7" t="str">
        <f t="shared" ca="1" si="11"/>
        <v/>
      </c>
      <c r="AB26" s="7" t="str">
        <f t="shared" ca="1" si="11"/>
        <v/>
      </c>
      <c r="AC26" s="7" t="str">
        <f t="shared" ca="1" si="12"/>
        <v/>
      </c>
      <c r="AD26" s="7" t="str">
        <f t="shared" ca="1" si="12"/>
        <v/>
      </c>
      <c r="AE26" s="7" t="str">
        <f t="shared" ca="1" si="12"/>
        <v/>
      </c>
      <c r="AF26" s="7" t="str">
        <f t="shared" ca="1" si="12"/>
        <v/>
      </c>
      <c r="AG26" s="7" t="str">
        <f t="shared" ca="1" si="12"/>
        <v/>
      </c>
      <c r="AH26" s="104" t="str">
        <f t="shared" ca="1" si="12"/>
        <v/>
      </c>
      <c r="AI26" s="104" t="str">
        <f t="shared" ca="1" si="12"/>
        <v/>
      </c>
      <c r="AJ26" s="7" t="str">
        <f t="shared" ca="1" si="12"/>
        <v/>
      </c>
      <c r="AK26" s="7" t="str">
        <f t="shared" ca="1" si="12"/>
        <v/>
      </c>
      <c r="AL26" s="7" t="str">
        <f t="shared" ca="1" si="12"/>
        <v/>
      </c>
      <c r="AM26" s="45" t="str">
        <f t="shared" ca="1" si="8"/>
        <v/>
      </c>
      <c r="AN26" s="7" t="str">
        <f t="shared" ca="1" si="13"/>
        <v/>
      </c>
      <c r="AO26" s="104" t="str">
        <f t="shared" ca="1" si="13"/>
        <v/>
      </c>
      <c r="AP26" s="104" t="str">
        <f t="shared" ca="1" si="13"/>
        <v/>
      </c>
      <c r="AQ26" s="7" t="str">
        <f t="shared" ca="1" si="13"/>
        <v/>
      </c>
      <c r="AR26" s="7" t="str">
        <f t="shared" ca="1" si="13"/>
        <v/>
      </c>
      <c r="AS26" s="7" t="str">
        <f t="shared" ca="1" si="13"/>
        <v/>
      </c>
      <c r="AT26" s="7" t="str">
        <f t="shared" ca="1" si="13"/>
        <v/>
      </c>
      <c r="AU26" s="7" t="str">
        <f t="shared" ca="1" si="13"/>
        <v/>
      </c>
      <c r="AV26" s="104" t="str">
        <f t="shared" ca="1" si="13"/>
        <v/>
      </c>
      <c r="AW26" s="104" t="str">
        <f t="shared" ca="1" si="13"/>
        <v/>
      </c>
      <c r="AX26" s="7" t="str">
        <f t="shared" ca="1" si="13"/>
        <v/>
      </c>
      <c r="AY26" s="7" t="str">
        <f t="shared" ca="1" si="13"/>
        <v/>
      </c>
      <c r="AZ26" s="7" t="str">
        <f t="shared" ca="1" si="13"/>
        <v/>
      </c>
      <c r="BA26" s="45" t="str">
        <f t="shared" ca="1" si="13"/>
        <v/>
      </c>
      <c r="BB26" s="101" t="str">
        <f t="shared" ca="1" si="13"/>
        <v/>
      </c>
      <c r="BC26" s="105" t="str">
        <f t="shared" ca="1" si="9"/>
        <v/>
      </c>
      <c r="BD26" s="105" t="str">
        <f t="shared" ca="1" si="14"/>
        <v/>
      </c>
      <c r="BE26" s="103" t="str">
        <f t="shared" ca="1" si="14"/>
        <v/>
      </c>
      <c r="BF26" s="7" t="str">
        <f t="shared" ca="1" si="14"/>
        <v/>
      </c>
      <c r="BG26" s="7" t="str">
        <f t="shared" ca="1" si="14"/>
        <v/>
      </c>
      <c r="BH26" s="7" t="str">
        <f t="shared" ca="1" si="14"/>
        <v/>
      </c>
      <c r="BI26" s="7" t="str">
        <f t="shared" ca="1" si="14"/>
        <v/>
      </c>
      <c r="BJ26" s="7" t="str">
        <f t="shared" ca="1" si="14"/>
        <v/>
      </c>
      <c r="BK26" s="7" t="str">
        <f t="shared" ca="1" si="14"/>
        <v/>
      </c>
    </row>
    <row r="27" spans="1:63" x14ac:dyDescent="0.3">
      <c r="A27" s="106" t="s">
        <v>46</v>
      </c>
      <c r="B27" s="107"/>
      <c r="C27" s="107"/>
      <c r="D27" s="108"/>
      <c r="E27" s="109"/>
      <c r="F27" s="110"/>
      <c r="G27" s="9"/>
      <c r="H27" s="7"/>
      <c r="I27" s="7"/>
      <c r="J27" s="7"/>
      <c r="K27" s="7"/>
      <c r="L27" s="7"/>
      <c r="M27" s="7"/>
      <c r="N27" s="7"/>
      <c r="O27" s="7"/>
      <c r="P27" s="7"/>
      <c r="Q27" s="7"/>
      <c r="R27" s="7"/>
      <c r="S27" s="7"/>
      <c r="T27" s="7"/>
      <c r="U27" s="7"/>
      <c r="V27" s="7"/>
      <c r="W27" s="7"/>
      <c r="X27" s="7"/>
      <c r="Y27" s="7"/>
      <c r="Z27" s="7"/>
      <c r="AA27" s="7"/>
      <c r="AB27" s="7"/>
      <c r="AC27" s="7"/>
      <c r="AD27" s="7"/>
      <c r="AE27" s="7"/>
      <c r="AF27" s="7"/>
      <c r="AG27" s="7"/>
      <c r="AH27" s="104"/>
      <c r="AI27" s="104"/>
      <c r="AJ27" s="7"/>
      <c r="AK27" s="7"/>
      <c r="AL27" s="7"/>
      <c r="AM27" s="45"/>
      <c r="AN27" s="7"/>
      <c r="AO27" s="104"/>
      <c r="AP27" s="104"/>
      <c r="AQ27" s="7"/>
      <c r="AR27" s="7"/>
      <c r="AS27" s="7"/>
      <c r="AT27" s="7"/>
      <c r="AU27" s="7"/>
      <c r="AV27" s="104"/>
      <c r="AW27" s="104"/>
      <c r="AX27" s="7"/>
      <c r="AY27" s="7"/>
      <c r="AZ27" s="7"/>
      <c r="BA27" s="45"/>
      <c r="BB27" s="101"/>
      <c r="BC27" s="105"/>
      <c r="BD27" s="105"/>
      <c r="BE27" s="103"/>
      <c r="BF27" s="7"/>
      <c r="BG27" s="7"/>
      <c r="BH27" s="7"/>
      <c r="BI27" s="7"/>
      <c r="BJ27" s="7"/>
      <c r="BK27" s="7"/>
    </row>
    <row r="28" spans="1:63" x14ac:dyDescent="0.3">
      <c r="A28" s="57" t="s">
        <v>33</v>
      </c>
      <c r="B28" s="9"/>
      <c r="C28" s="9"/>
      <c r="D28" s="73">
        <v>0</v>
      </c>
      <c r="E28" s="83">
        <v>46062</v>
      </c>
      <c r="F28" s="10">
        <v>1</v>
      </c>
      <c r="G28" s="9"/>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45"/>
      <c r="AN28" s="7"/>
      <c r="AO28" s="104"/>
      <c r="AP28" s="104"/>
      <c r="AQ28" s="7"/>
      <c r="AR28" s="7"/>
      <c r="AS28" s="7"/>
      <c r="AT28" s="7"/>
      <c r="AU28" s="7"/>
      <c r="AV28" s="104"/>
      <c r="AW28" s="104"/>
      <c r="AX28" s="7"/>
      <c r="AY28" s="7"/>
      <c r="AZ28" s="7"/>
      <c r="BA28" s="45"/>
      <c r="BB28" s="101"/>
      <c r="BC28" s="105"/>
      <c r="BD28" s="105"/>
      <c r="BE28" s="103"/>
      <c r="BF28" s="7"/>
      <c r="BG28" s="7"/>
      <c r="BH28" s="7"/>
      <c r="BI28" s="7"/>
      <c r="BJ28" s="7"/>
      <c r="BK28" s="7"/>
    </row>
    <row r="29" spans="1:63" x14ac:dyDescent="0.3">
      <c r="A29" s="57" t="s">
        <v>34</v>
      </c>
      <c r="B29" s="9"/>
      <c r="C29" s="9"/>
      <c r="D29" s="73">
        <v>0</v>
      </c>
      <c r="E29" s="83">
        <v>46063</v>
      </c>
      <c r="F29" s="10">
        <v>1</v>
      </c>
      <c r="G29" s="9"/>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45"/>
      <c r="AN29" s="7"/>
      <c r="AO29" s="104"/>
      <c r="AP29" s="104"/>
      <c r="AQ29" s="7"/>
      <c r="AR29" s="7"/>
      <c r="AS29" s="7"/>
      <c r="AT29" s="7"/>
      <c r="AU29" s="7"/>
      <c r="AV29" s="104"/>
      <c r="AW29" s="104"/>
      <c r="AX29" s="7"/>
      <c r="AY29" s="7"/>
      <c r="AZ29" s="7"/>
      <c r="BA29" s="45"/>
      <c r="BB29" s="101"/>
      <c r="BC29" s="105"/>
      <c r="BD29" s="105"/>
      <c r="BE29" s="103"/>
      <c r="BF29" s="7"/>
      <c r="BG29" s="7"/>
      <c r="BH29" s="7"/>
      <c r="BI29" s="7"/>
      <c r="BJ29" s="7"/>
      <c r="BK29" s="7"/>
    </row>
    <row r="30" spans="1:63" x14ac:dyDescent="0.3">
      <c r="A30" s="57" t="s">
        <v>35</v>
      </c>
      <c r="B30" s="9"/>
      <c r="C30" s="9"/>
      <c r="D30" s="73">
        <v>0</v>
      </c>
      <c r="E30" s="83">
        <v>46064</v>
      </c>
      <c r="F30" s="10">
        <v>1</v>
      </c>
      <c r="G30" s="9"/>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45"/>
      <c r="AN30" s="7"/>
      <c r="AO30" s="104"/>
      <c r="AP30" s="104"/>
      <c r="AQ30" s="7"/>
      <c r="AR30" s="7"/>
      <c r="AS30" s="7"/>
      <c r="AT30" s="7"/>
      <c r="AU30" s="7"/>
      <c r="AV30" s="104"/>
      <c r="AW30" s="104"/>
      <c r="AX30" s="7"/>
      <c r="AY30" s="7"/>
      <c r="AZ30" s="7"/>
      <c r="BA30" s="45"/>
      <c r="BB30" s="101"/>
      <c r="BC30" s="105"/>
      <c r="BD30" s="105"/>
      <c r="BE30" s="103"/>
      <c r="BF30" s="7"/>
      <c r="BG30" s="7"/>
      <c r="BH30" s="7"/>
      <c r="BI30" s="7"/>
      <c r="BJ30" s="7"/>
      <c r="BK30" s="7"/>
    </row>
    <row r="31" spans="1:63" x14ac:dyDescent="0.3">
      <c r="A31" s="58" t="s">
        <v>36</v>
      </c>
      <c r="B31" s="9" t="s">
        <v>1</v>
      </c>
      <c r="C31" s="9"/>
      <c r="D31" s="73">
        <v>0</v>
      </c>
      <c r="E31" s="83">
        <v>46065</v>
      </c>
      <c r="F31" s="10">
        <v>1</v>
      </c>
      <c r="G31" s="9"/>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45"/>
      <c r="AN31" s="7"/>
      <c r="AO31" s="104"/>
      <c r="AP31" s="104"/>
      <c r="AQ31" s="7"/>
      <c r="AR31" s="7"/>
      <c r="AS31" s="7"/>
      <c r="AT31" s="7"/>
      <c r="AU31" s="7"/>
      <c r="AV31" s="104"/>
      <c r="AW31" s="104"/>
      <c r="AX31" s="7"/>
      <c r="AY31" s="7"/>
      <c r="AZ31" s="7"/>
      <c r="BA31" s="45"/>
      <c r="BB31" s="101"/>
      <c r="BC31" s="105"/>
      <c r="BD31" s="105"/>
      <c r="BE31" s="103"/>
      <c r="BF31" s="7"/>
      <c r="BG31" s="7"/>
      <c r="BH31" s="7"/>
      <c r="BI31" s="7"/>
      <c r="BJ31" s="7"/>
      <c r="BK31" s="7"/>
    </row>
    <row r="32" spans="1:63" x14ac:dyDescent="0.3">
      <c r="A32" s="65" t="s">
        <v>47</v>
      </c>
      <c r="B32" s="44"/>
      <c r="C32" s="44"/>
      <c r="D32" s="77"/>
      <c r="E32" s="87"/>
      <c r="F32" s="66"/>
      <c r="G32" s="9"/>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104"/>
      <c r="AP32" s="104"/>
      <c r="AQ32" s="7"/>
      <c r="AR32" s="7"/>
      <c r="AS32" s="7"/>
      <c r="AT32" s="7"/>
      <c r="AU32" s="7"/>
      <c r="AV32" s="104"/>
      <c r="AW32" s="104"/>
      <c r="AX32" s="7"/>
      <c r="AY32" s="7"/>
      <c r="AZ32" s="7"/>
      <c r="BA32" s="45"/>
      <c r="BB32" s="101"/>
      <c r="BC32" s="105"/>
      <c r="BD32" s="105"/>
      <c r="BE32" s="103"/>
      <c r="BF32" s="7"/>
      <c r="BG32" s="7"/>
      <c r="BH32" s="7"/>
      <c r="BI32" s="7"/>
      <c r="BJ32" s="7"/>
      <c r="BK32" s="7"/>
    </row>
    <row r="33" spans="1:64" x14ac:dyDescent="0.3">
      <c r="A33" s="57" t="s">
        <v>38</v>
      </c>
      <c r="B33" s="9"/>
      <c r="C33" s="9"/>
      <c r="D33" s="73">
        <v>0</v>
      </c>
      <c r="E33" s="83">
        <v>46069</v>
      </c>
      <c r="F33" s="10">
        <v>1</v>
      </c>
      <c r="G33" s="9"/>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104"/>
      <c r="AW33" s="104"/>
      <c r="AX33" s="7"/>
      <c r="AY33" s="7"/>
      <c r="AZ33" s="7"/>
      <c r="BA33" s="45"/>
      <c r="BB33" s="101"/>
      <c r="BC33" s="105"/>
      <c r="BD33" s="105"/>
      <c r="BE33" s="103"/>
      <c r="BF33" s="7"/>
      <c r="BG33" s="7"/>
      <c r="BH33" s="7"/>
      <c r="BI33" s="7"/>
      <c r="BJ33" s="7"/>
      <c r="BK33" s="7"/>
    </row>
    <row r="34" spans="1:64" x14ac:dyDescent="0.3">
      <c r="A34" s="57" t="s">
        <v>39</v>
      </c>
      <c r="B34" s="9"/>
      <c r="C34" s="9"/>
      <c r="D34" s="73">
        <v>0</v>
      </c>
      <c r="E34" s="83">
        <v>46070</v>
      </c>
      <c r="F34" s="10">
        <v>1</v>
      </c>
      <c r="G34" s="9"/>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104"/>
      <c r="AW34" s="104"/>
      <c r="AX34" s="7"/>
      <c r="AY34" s="7"/>
      <c r="AZ34" s="7"/>
      <c r="BA34" s="45"/>
      <c r="BB34" s="101"/>
      <c r="BC34" s="105"/>
      <c r="BD34" s="105"/>
      <c r="BE34" s="103"/>
      <c r="BF34" s="7"/>
      <c r="BG34" s="7"/>
      <c r="BH34" s="7"/>
      <c r="BI34" s="7"/>
      <c r="BJ34" s="7"/>
      <c r="BK34" s="7"/>
    </row>
    <row r="35" spans="1:64" x14ac:dyDescent="0.3">
      <c r="A35" s="57" t="s">
        <v>40</v>
      </c>
      <c r="B35" s="9"/>
      <c r="C35" s="9"/>
      <c r="D35" s="73">
        <v>0</v>
      </c>
      <c r="E35" s="83">
        <v>46071</v>
      </c>
      <c r="F35" s="10">
        <v>1</v>
      </c>
      <c r="G35" s="9"/>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104"/>
      <c r="AW35" s="104"/>
      <c r="AX35" s="7"/>
      <c r="AY35" s="7"/>
      <c r="AZ35" s="7"/>
      <c r="BA35" s="45"/>
      <c r="BB35" s="101"/>
      <c r="BC35" s="105"/>
      <c r="BD35" s="105"/>
      <c r="BE35" s="103"/>
      <c r="BF35" s="7"/>
      <c r="BG35" s="7"/>
      <c r="BH35" s="7"/>
      <c r="BI35" s="7"/>
      <c r="BJ35" s="7"/>
      <c r="BK35" s="7"/>
    </row>
    <row r="36" spans="1:64" x14ac:dyDescent="0.3">
      <c r="A36" s="57" t="s">
        <v>41</v>
      </c>
      <c r="B36" s="9"/>
      <c r="C36" s="9"/>
      <c r="D36" s="73">
        <v>0</v>
      </c>
      <c r="E36" s="83">
        <v>46072</v>
      </c>
      <c r="F36" s="10">
        <v>1</v>
      </c>
      <c r="G36" s="9"/>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104"/>
      <c r="AW36" s="104"/>
      <c r="AX36" s="7"/>
      <c r="AY36" s="7"/>
      <c r="AZ36" s="7"/>
      <c r="BA36" s="45"/>
      <c r="BB36" s="101"/>
      <c r="BC36" s="105"/>
      <c r="BD36" s="105"/>
      <c r="BE36" s="103"/>
      <c r="BF36" s="7"/>
      <c r="BG36" s="7"/>
      <c r="BH36" s="7"/>
      <c r="BI36" s="7"/>
      <c r="BJ36" s="7"/>
      <c r="BK36" s="7"/>
    </row>
    <row r="37" spans="1:64" x14ac:dyDescent="0.3">
      <c r="A37" s="67" t="s">
        <v>37</v>
      </c>
      <c r="B37" s="36"/>
      <c r="C37" s="36"/>
      <c r="D37" s="78"/>
      <c r="E37" s="88"/>
      <c r="F37" s="68"/>
      <c r="G37" s="9"/>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104"/>
      <c r="AW37" s="104"/>
      <c r="AX37" s="7"/>
      <c r="AY37" s="7"/>
      <c r="AZ37" s="7"/>
      <c r="BA37" s="45"/>
      <c r="BB37" s="101"/>
      <c r="BC37" s="105"/>
      <c r="BD37" s="105"/>
      <c r="BE37" s="103"/>
      <c r="BF37" s="7"/>
      <c r="BG37" s="7"/>
      <c r="BH37" s="7"/>
      <c r="BI37" s="7"/>
      <c r="BJ37" s="7"/>
      <c r="BK37" s="7"/>
    </row>
    <row r="38" spans="1:64" x14ac:dyDescent="0.3">
      <c r="A38" s="57" t="s">
        <v>48</v>
      </c>
      <c r="B38" s="9"/>
      <c r="C38" s="9"/>
      <c r="D38" s="73">
        <v>0</v>
      </c>
      <c r="E38" s="83">
        <v>46076</v>
      </c>
      <c r="F38" s="10">
        <v>1</v>
      </c>
      <c r="G38" s="9"/>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45"/>
      <c r="BB38" s="101"/>
      <c r="BC38" s="105"/>
      <c r="BD38" s="105"/>
      <c r="BE38" s="103"/>
      <c r="BF38" s="7"/>
      <c r="BG38" s="7"/>
      <c r="BH38" s="7"/>
      <c r="BI38" s="7"/>
      <c r="BJ38" s="7"/>
      <c r="BK38" s="7"/>
    </row>
    <row r="39" spans="1:64" x14ac:dyDescent="0.3">
      <c r="A39" s="57" t="s">
        <v>49</v>
      </c>
      <c r="B39" s="9"/>
      <c r="C39" s="9"/>
      <c r="D39" s="73">
        <v>0</v>
      </c>
      <c r="E39" s="83">
        <v>46077</v>
      </c>
      <c r="F39" s="10">
        <v>1</v>
      </c>
      <c r="G39" s="9"/>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45"/>
      <c r="BB39" s="101"/>
      <c r="BC39" s="105"/>
      <c r="BD39" s="105"/>
      <c r="BE39" s="103"/>
      <c r="BF39" s="7"/>
      <c r="BG39" s="7"/>
      <c r="BH39" s="7"/>
      <c r="BI39" s="7"/>
      <c r="BJ39" s="7"/>
      <c r="BK39" s="7"/>
    </row>
    <row r="40" spans="1:64" x14ac:dyDescent="0.3">
      <c r="A40" s="57" t="s">
        <v>50</v>
      </c>
      <c r="B40" s="9"/>
      <c r="C40" s="9"/>
      <c r="D40" s="73">
        <v>0</v>
      </c>
      <c r="E40" s="83">
        <v>46078</v>
      </c>
      <c r="F40" s="10">
        <v>1</v>
      </c>
      <c r="G40" s="9"/>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45"/>
      <c r="BB40" s="101"/>
      <c r="BC40" s="105"/>
      <c r="BD40" s="105"/>
      <c r="BE40" s="103"/>
      <c r="BF40" s="7"/>
      <c r="BG40" s="7"/>
      <c r="BH40" s="7"/>
      <c r="BI40" s="7"/>
      <c r="BJ40" s="7"/>
      <c r="BK40" s="7"/>
    </row>
    <row r="41" spans="1:64" x14ac:dyDescent="0.3">
      <c r="A41" s="58" t="s">
        <v>51</v>
      </c>
      <c r="B41" s="9" t="s">
        <v>1</v>
      </c>
      <c r="C41" s="9"/>
      <c r="D41" s="73">
        <v>0</v>
      </c>
      <c r="E41" s="83">
        <v>46079</v>
      </c>
      <c r="F41" s="10">
        <v>1</v>
      </c>
      <c r="G41" s="9"/>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45"/>
      <c r="BB41" s="101"/>
      <c r="BC41" s="105"/>
      <c r="BD41" s="105"/>
      <c r="BE41" s="103"/>
      <c r="BF41" s="7"/>
      <c r="BG41" s="7"/>
      <c r="BH41" s="7"/>
      <c r="BI41" s="7"/>
      <c r="BJ41" s="7"/>
      <c r="BK41" s="7"/>
    </row>
    <row r="42" spans="1:64" x14ac:dyDescent="0.3">
      <c r="A42" s="57"/>
      <c r="B42" s="9"/>
      <c r="C42" s="9"/>
      <c r="D42" s="73"/>
      <c r="E42" s="83"/>
      <c r="F42" s="10"/>
      <c r="G42" s="9"/>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row>
    <row r="43" spans="1:64" x14ac:dyDescent="0.3">
      <c r="A43" s="57"/>
      <c r="B43" s="9"/>
      <c r="C43" s="9"/>
      <c r="D43" s="73"/>
      <c r="E43" s="83"/>
      <c r="F43" s="10"/>
      <c r="G43" s="9"/>
      <c r="H43" s="7" t="str">
        <f t="shared" ref="H43:AM43" ca="1" si="15">IF(AND($B43="Goal",H$4&gt;=$E43,H$4&lt;=$E43+$F43-1),2,IF(AND($B43="Milestone",H$4&gt;=$E43,H$4&lt;=$E43+$F43-1),1,""))</f>
        <v/>
      </c>
      <c r="I43" s="7" t="str">
        <f t="shared" ca="1" si="15"/>
        <v/>
      </c>
      <c r="J43" s="7" t="str">
        <f t="shared" ca="1" si="15"/>
        <v/>
      </c>
      <c r="K43" s="7" t="str">
        <f t="shared" ca="1" si="15"/>
        <v/>
      </c>
      <c r="L43" s="7" t="str">
        <f t="shared" ca="1" si="15"/>
        <v/>
      </c>
      <c r="M43" s="7" t="str">
        <f t="shared" ca="1" si="15"/>
        <v/>
      </c>
      <c r="N43" s="7" t="str">
        <f t="shared" ca="1" si="15"/>
        <v/>
      </c>
      <c r="O43" s="7" t="str">
        <f t="shared" ca="1" si="15"/>
        <v/>
      </c>
      <c r="P43" s="7" t="str">
        <f t="shared" ca="1" si="15"/>
        <v/>
      </c>
      <c r="Q43" s="7" t="str">
        <f t="shared" ca="1" si="15"/>
        <v/>
      </c>
      <c r="R43" s="7" t="str">
        <f t="shared" ca="1" si="15"/>
        <v/>
      </c>
      <c r="S43" s="7" t="str">
        <f t="shared" ca="1" si="15"/>
        <v/>
      </c>
      <c r="T43" s="7" t="str">
        <f t="shared" ca="1" si="15"/>
        <v/>
      </c>
      <c r="U43" s="7" t="str">
        <f t="shared" ca="1" si="15"/>
        <v/>
      </c>
      <c r="V43" s="7" t="str">
        <f t="shared" ca="1" si="15"/>
        <v/>
      </c>
      <c r="W43" s="7" t="str">
        <f t="shared" ca="1" si="15"/>
        <v/>
      </c>
      <c r="X43" s="7" t="str">
        <f t="shared" ca="1" si="15"/>
        <v/>
      </c>
      <c r="Y43" s="7" t="str">
        <f t="shared" ca="1" si="15"/>
        <v/>
      </c>
      <c r="Z43" s="7" t="str">
        <f t="shared" ca="1" si="15"/>
        <v/>
      </c>
      <c r="AA43" s="7" t="str">
        <f t="shared" ca="1" si="15"/>
        <v/>
      </c>
      <c r="AB43" s="7" t="str">
        <f t="shared" ca="1" si="15"/>
        <v/>
      </c>
      <c r="AC43" s="7" t="str">
        <f t="shared" ca="1" si="15"/>
        <v/>
      </c>
      <c r="AD43" s="7" t="str">
        <f t="shared" ca="1" si="15"/>
        <v/>
      </c>
      <c r="AE43" s="7" t="str">
        <f t="shared" ca="1" si="15"/>
        <v/>
      </c>
      <c r="AF43" s="7" t="str">
        <f t="shared" ca="1" si="15"/>
        <v/>
      </c>
      <c r="AG43" s="7" t="str">
        <f t="shared" ca="1" si="15"/>
        <v/>
      </c>
      <c r="AH43" s="7" t="str">
        <f t="shared" ca="1" si="15"/>
        <v/>
      </c>
      <c r="AI43" s="7" t="str">
        <f t="shared" ca="1" si="15"/>
        <v/>
      </c>
      <c r="AJ43" s="7" t="str">
        <f t="shared" ca="1" si="15"/>
        <v/>
      </c>
      <c r="AK43" s="7" t="str">
        <f t="shared" ca="1" si="15"/>
        <v/>
      </c>
      <c r="AL43" s="7" t="str">
        <f t="shared" ca="1" si="15"/>
        <v/>
      </c>
      <c r="AM43" s="7" t="str">
        <f t="shared" ca="1" si="15"/>
        <v/>
      </c>
      <c r="AN43" s="7" t="str">
        <f t="shared" ref="AN43:BK43" ca="1" si="16">IF(AND($B43="Goal",AN$4&gt;=$E43,AN$4&lt;=$E43+$F43-1),2,IF(AND($B43="Milestone",AN$4&gt;=$E43,AN$4&lt;=$E43+$F43-1),1,""))</f>
        <v/>
      </c>
      <c r="AO43" s="7" t="str">
        <f t="shared" ca="1" si="16"/>
        <v/>
      </c>
      <c r="AP43" s="7" t="str">
        <f t="shared" ca="1" si="16"/>
        <v/>
      </c>
      <c r="AQ43" s="7" t="str">
        <f t="shared" ca="1" si="16"/>
        <v/>
      </c>
      <c r="AR43" s="7" t="str">
        <f t="shared" ca="1" si="16"/>
        <v/>
      </c>
      <c r="AS43" s="7" t="str">
        <f t="shared" ca="1" si="16"/>
        <v/>
      </c>
      <c r="AT43" s="7" t="str">
        <f t="shared" ca="1" si="16"/>
        <v/>
      </c>
      <c r="AU43" s="7" t="str">
        <f t="shared" ca="1" si="16"/>
        <v/>
      </c>
      <c r="AV43" s="7" t="str">
        <f t="shared" ca="1" si="16"/>
        <v/>
      </c>
      <c r="AW43" s="7" t="str">
        <f t="shared" ca="1" si="16"/>
        <v/>
      </c>
      <c r="AX43" s="7" t="str">
        <f t="shared" ca="1" si="16"/>
        <v/>
      </c>
      <c r="AY43" s="7" t="str">
        <f t="shared" ca="1" si="16"/>
        <v/>
      </c>
      <c r="AZ43" s="7" t="str">
        <f t="shared" ca="1" si="16"/>
        <v/>
      </c>
      <c r="BA43" s="7" t="str">
        <f t="shared" ca="1" si="16"/>
        <v/>
      </c>
      <c r="BB43" s="7" t="str">
        <f t="shared" ca="1" si="16"/>
        <v/>
      </c>
      <c r="BC43" s="7" t="str">
        <f t="shared" ca="1" si="16"/>
        <v/>
      </c>
      <c r="BD43" s="7" t="str">
        <f t="shared" ca="1" si="16"/>
        <v/>
      </c>
      <c r="BE43" s="7" t="str">
        <f t="shared" ca="1" si="16"/>
        <v/>
      </c>
      <c r="BF43" s="7" t="str">
        <f t="shared" ca="1" si="16"/>
        <v/>
      </c>
      <c r="BG43" s="7" t="str">
        <f t="shared" ca="1" si="16"/>
        <v/>
      </c>
      <c r="BH43" s="7" t="str">
        <f t="shared" ca="1" si="16"/>
        <v/>
      </c>
      <c r="BI43" s="7" t="str">
        <f t="shared" ca="1" si="16"/>
        <v/>
      </c>
      <c r="BJ43" s="7" t="str">
        <f t="shared" ca="1" si="16"/>
        <v/>
      </c>
      <c r="BK43" s="7" t="str">
        <f t="shared" ca="1" si="16"/>
        <v/>
      </c>
      <c r="BL43" s="18"/>
    </row>
    <row r="44" spans="1:64" ht="28.8" x14ac:dyDescent="0.3">
      <c r="A44" s="57" t="s">
        <v>8</v>
      </c>
      <c r="B44" s="9"/>
      <c r="C44" s="9"/>
      <c r="D44" s="11"/>
      <c r="E44" s="89"/>
      <c r="F44" s="15"/>
      <c r="G44" s="9"/>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row>
    <row r="45" spans="1:64" x14ac:dyDescent="0.3">
      <c r="C45" s="69"/>
      <c r="F45" s="6"/>
      <c r="G45" s="2"/>
    </row>
    <row r="46" spans="1:64" x14ac:dyDescent="0.3">
      <c r="C46" s="70"/>
    </row>
  </sheetData>
  <mergeCells count="5">
    <mergeCell ref="W1:Z1"/>
    <mergeCell ref="AB1:AE1"/>
    <mergeCell ref="H1:K1"/>
    <mergeCell ref="M1:P1"/>
    <mergeCell ref="R1:U1"/>
  </mergeCells>
  <conditionalFormatting sqref="D6:D44">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H3:AL3">
    <cfRule type="expression" dxfId="13" priority="4">
      <formula>H$4&lt;=EOMONTH($H$4,0)</formula>
    </cfRule>
  </conditionalFormatting>
  <conditionalFormatting sqref="H3:BK3">
    <cfRule type="expression" dxfId="12" priority="2">
      <formula>AND(H$4&lt;=EOMONTH($H$4,1),H$4&gt;EOMONTH($H$4,0))</formula>
    </cfRule>
  </conditionalFormatting>
  <conditionalFormatting sqref="H4:BK44">
    <cfRule type="expression" dxfId="11" priority="1">
      <formula>AND(TODAY()&gt;=H$4,TODAY()&lt;I$4)</formula>
    </cfRule>
  </conditionalFormatting>
  <conditionalFormatting sqref="H7:BK43">
    <cfRule type="expression" dxfId="10" priority="83" stopIfTrue="1">
      <formula>AND($B7="Low Risk",H$4&gt;=$E7,H$4&lt;=$E7+$F7-1)</formula>
    </cfRule>
    <cfRule type="expression" dxfId="9" priority="84" stopIfTrue="1">
      <formula>AND($B7="High Risk",H$4&gt;=$E7,H$4&lt;=$E7+$F7-1)</formula>
    </cfRule>
    <cfRule type="expression" dxfId="8" priority="85" stopIfTrue="1">
      <formula>AND($B7="On Track",H$4&gt;=$E7,H$4&lt;=$E7+$F7-1)</formula>
    </cfRule>
    <cfRule type="expression" dxfId="7" priority="86" stopIfTrue="1">
      <formula>AND($B7="Med Risk",H$4&gt;=$E7,H$4&lt;=$E7+$F7-1)</formula>
    </cfRule>
    <cfRule type="expression" dxfId="6" priority="87" stopIfTrue="1">
      <formula>AND(LEN($B7)=0,H$4&gt;=$E7,H$4&lt;=$E7+$F7-1)</formula>
    </cfRule>
  </conditionalFormatting>
  <conditionalFormatting sqref="H44:BK44">
    <cfRule type="expression" dxfId="5" priority="13" stopIfTrue="1">
      <formula>AND(#REF!="Low Risk",H$4&gt;=#REF!,H$4&lt;=#REF!+#REF!-1)</formula>
    </cfRule>
    <cfRule type="expression" dxfId="4" priority="14" stopIfTrue="1">
      <formula>AND(#REF!="High Risk",H$4&gt;=#REF!,H$4&lt;=#REF!+#REF!-1)</formula>
    </cfRule>
    <cfRule type="expression" dxfId="3" priority="15" stopIfTrue="1">
      <formula>AND(#REF!="On Track",H$4&gt;=#REF!,H$4&lt;=#REF!+#REF!-1)</formula>
    </cfRule>
    <cfRule type="expression" dxfId="2" priority="16" stopIfTrue="1">
      <formula>AND(#REF!="Med Risk",H$4&gt;=#REF!,H$4&lt;=#REF!+#REF!-1)</formula>
    </cfRule>
    <cfRule type="expression" dxfId="1" priority="17" stopIfTrue="1">
      <formula>AND(LEN(#REF!)=0,H$4&gt;=#REF!,H$4&lt;=#REF!+#REF!-1)</formula>
    </cfRule>
  </conditionalFormatting>
  <conditionalFormatting sqref="I3:BK3">
    <cfRule type="expression" dxfId="0" priority="3">
      <formula>AND(I$4&lt;=EOMONTH($H$4,2),I$4&gt;EOMONTH($H$4,0),I$4&gt;EOMONTH($H$4,1))</formula>
    </cfRule>
  </conditionalFormatting>
  <dataValidations count="3">
    <dataValidation type="list" allowBlank="1" showInputMessage="1" sqref="B7" xr:uid="{2A71DF35-3E17-4EA3-9F65-3869ED6D651B}">
      <formula1>"Goal,Milestone,On Track, Low Risk, Med Risk, High Risk"</formula1>
    </dataValidation>
    <dataValidation type="list" allowBlank="1" showInputMessage="1" showErrorMessage="1" sqref="B8:B43"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B4" xr:uid="{86087FA1-35BE-457A-912C-7FF26BCE687A}">
      <formula1>0</formula1>
    </dataValidation>
  </dataValidations>
  <printOptions horizontalCentered="1"/>
  <pageMargins left="0.25" right="0.25" top="0.5" bottom="0.5" header="0.3" footer="0.3"/>
  <pageSetup scale="46"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7</xdr:col>
                    <xdr:colOff>22860</xdr:colOff>
                    <xdr:row>4</xdr:row>
                    <xdr:rowOff>45720</xdr:rowOff>
                  </from>
                  <to>
                    <xdr:col>62</xdr:col>
                    <xdr:colOff>182880</xdr:colOff>
                    <xdr:row>5</xdr:row>
                    <xdr:rowOff>45720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D6:D44</xm:sqref>
        </x14:conditionalFormatting>
        <x14:conditionalFormatting xmlns:xm="http://schemas.microsoft.com/office/excel/2006/main">
          <x14:cfRule type="iconSet" priority="8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H7:BK43</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H44:BK44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2.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About</vt:lpstr>
      <vt:lpstr>Color</vt:lpstr>
      <vt:lpstr>Color!Print_Area</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2026-01-26T19:14:40Z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